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nava/Downloads/"/>
    </mc:Choice>
  </mc:AlternateContent>
  <xr:revisionPtr revIDLastSave="0" documentId="13_ncr:1_{AF542F26-C1D5-724A-B842-49AC95484C3B}" xr6:coauthVersionLast="47" xr6:coauthVersionMax="47" xr10:uidLastSave="{00000000-0000-0000-0000-000000000000}"/>
  <bookViews>
    <workbookView xWindow="0" yWindow="500" windowWidth="33600" windowHeight="18840" activeTab="2" xr2:uid="{00000000-000D-0000-FFFF-FFFF00000000}"/>
  </bookViews>
  <sheets>
    <sheet name="Datos" sheetId="1" r:id="rId1"/>
    <sheet name="Kernels" sheetId="2" r:id="rId2"/>
    <sheet name="Convoluc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1" i="3" l="1"/>
  <c r="J81" i="3"/>
  <c r="I81" i="3"/>
  <c r="H81" i="3"/>
  <c r="G81" i="3"/>
  <c r="F81" i="3"/>
  <c r="E81" i="3"/>
  <c r="D81" i="3"/>
  <c r="C81" i="3"/>
  <c r="B81" i="3"/>
  <c r="K80" i="3"/>
  <c r="J80" i="3"/>
  <c r="I80" i="3"/>
  <c r="H80" i="3"/>
  <c r="G80" i="3"/>
  <c r="F80" i="3"/>
  <c r="E80" i="3"/>
  <c r="D80" i="3"/>
  <c r="C80" i="3"/>
  <c r="B80" i="3"/>
  <c r="K79" i="3"/>
  <c r="J79" i="3"/>
  <c r="I79" i="3"/>
  <c r="H79" i="3"/>
  <c r="G79" i="3"/>
  <c r="F79" i="3"/>
  <c r="E79" i="3"/>
  <c r="D79" i="3"/>
  <c r="C79" i="3"/>
  <c r="B79" i="3"/>
  <c r="K78" i="3"/>
  <c r="J78" i="3"/>
  <c r="I78" i="3"/>
  <c r="H78" i="3"/>
  <c r="G78" i="3"/>
  <c r="F78" i="3"/>
  <c r="E78" i="3"/>
  <c r="D78" i="3"/>
  <c r="C78" i="3"/>
  <c r="B78" i="3"/>
  <c r="K77" i="3"/>
  <c r="J77" i="3"/>
  <c r="I77" i="3"/>
  <c r="H77" i="3"/>
  <c r="G77" i="3"/>
  <c r="F77" i="3"/>
  <c r="E77" i="3"/>
  <c r="D77" i="3"/>
  <c r="C77" i="3"/>
  <c r="B77" i="3"/>
  <c r="K76" i="3"/>
  <c r="J76" i="3"/>
  <c r="I76" i="3"/>
  <c r="H76" i="3"/>
  <c r="G76" i="3"/>
  <c r="F76" i="3"/>
  <c r="E76" i="3"/>
  <c r="D76" i="3"/>
  <c r="C76" i="3"/>
  <c r="B76" i="3"/>
  <c r="K75" i="3"/>
  <c r="J75" i="3"/>
  <c r="I75" i="3"/>
  <c r="H75" i="3"/>
  <c r="G75" i="3"/>
  <c r="F75" i="3"/>
  <c r="E75" i="3"/>
  <c r="D75" i="3"/>
  <c r="C75" i="3"/>
  <c r="B75" i="3"/>
  <c r="K74" i="3"/>
  <c r="J74" i="3"/>
  <c r="I74" i="3"/>
  <c r="H74" i="3"/>
  <c r="G74" i="3"/>
  <c r="F74" i="3"/>
  <c r="E74" i="3"/>
  <c r="D74" i="3"/>
  <c r="C74" i="3"/>
  <c r="B74" i="3"/>
  <c r="K73" i="3"/>
  <c r="J73" i="3"/>
  <c r="I73" i="3"/>
  <c r="H73" i="3"/>
  <c r="G73" i="3"/>
  <c r="F73" i="3"/>
  <c r="E73" i="3"/>
  <c r="D73" i="3"/>
  <c r="C73" i="3"/>
  <c r="B73" i="3"/>
  <c r="K72" i="3"/>
  <c r="J72" i="3"/>
  <c r="I72" i="3"/>
  <c r="H72" i="3"/>
  <c r="G72" i="3"/>
  <c r="F72" i="3"/>
  <c r="E72" i="3"/>
  <c r="D72" i="3"/>
  <c r="C72" i="3"/>
  <c r="B72" i="3"/>
  <c r="K67" i="3"/>
  <c r="J67" i="3"/>
  <c r="I67" i="3"/>
  <c r="H67" i="3"/>
  <c r="G67" i="3"/>
  <c r="F67" i="3"/>
  <c r="E67" i="3"/>
  <c r="D67" i="3"/>
  <c r="C67" i="3"/>
  <c r="B67" i="3"/>
  <c r="K66" i="3"/>
  <c r="J66" i="3"/>
  <c r="I66" i="3"/>
  <c r="H66" i="3"/>
  <c r="G66" i="3"/>
  <c r="F66" i="3"/>
  <c r="E66" i="3"/>
  <c r="D66" i="3"/>
  <c r="C66" i="3"/>
  <c r="B66" i="3"/>
  <c r="K65" i="3"/>
  <c r="J65" i="3"/>
  <c r="I65" i="3"/>
  <c r="H65" i="3"/>
  <c r="G65" i="3"/>
  <c r="F65" i="3"/>
  <c r="E65" i="3"/>
  <c r="D65" i="3"/>
  <c r="C65" i="3"/>
  <c r="B65" i="3"/>
  <c r="K64" i="3"/>
  <c r="J64" i="3"/>
  <c r="I64" i="3"/>
  <c r="H64" i="3"/>
  <c r="G64" i="3"/>
  <c r="F64" i="3"/>
  <c r="E64" i="3"/>
  <c r="D64" i="3"/>
  <c r="C64" i="3"/>
  <c r="B64" i="3"/>
  <c r="K63" i="3"/>
  <c r="J63" i="3"/>
  <c r="I63" i="3"/>
  <c r="H63" i="3"/>
  <c r="G63" i="3"/>
  <c r="F63" i="3"/>
  <c r="E63" i="3"/>
  <c r="D63" i="3"/>
  <c r="C63" i="3"/>
  <c r="B63" i="3"/>
  <c r="K62" i="3"/>
  <c r="J62" i="3"/>
  <c r="I62" i="3"/>
  <c r="H62" i="3"/>
  <c r="G62" i="3"/>
  <c r="F62" i="3"/>
  <c r="E62" i="3"/>
  <c r="D62" i="3"/>
  <c r="C62" i="3"/>
  <c r="B62" i="3"/>
  <c r="K61" i="3"/>
  <c r="J61" i="3"/>
  <c r="I61" i="3"/>
  <c r="H61" i="3"/>
  <c r="G61" i="3"/>
  <c r="F61" i="3"/>
  <c r="E61" i="3"/>
  <c r="D61" i="3"/>
  <c r="C61" i="3"/>
  <c r="B61" i="3"/>
  <c r="K60" i="3"/>
  <c r="J60" i="3"/>
  <c r="I60" i="3"/>
  <c r="H60" i="3"/>
  <c r="G60" i="3"/>
  <c r="F60" i="3"/>
  <c r="E60" i="3"/>
  <c r="D60" i="3"/>
  <c r="C60" i="3"/>
  <c r="B60" i="3"/>
  <c r="K59" i="3"/>
  <c r="J59" i="3"/>
  <c r="I59" i="3"/>
  <c r="H59" i="3"/>
  <c r="G59" i="3"/>
  <c r="F59" i="3"/>
  <c r="E59" i="3"/>
  <c r="D59" i="3"/>
  <c r="C59" i="3"/>
  <c r="B59" i="3"/>
  <c r="K58" i="3"/>
  <c r="J58" i="3"/>
  <c r="I58" i="3"/>
  <c r="H58" i="3"/>
  <c r="G58" i="3"/>
  <c r="F58" i="3"/>
  <c r="E58" i="3"/>
  <c r="D58" i="3"/>
  <c r="C58" i="3"/>
  <c r="B58" i="3"/>
  <c r="K53" i="3"/>
  <c r="J53" i="3"/>
  <c r="I53" i="3"/>
  <c r="H53" i="3"/>
  <c r="G53" i="3"/>
  <c r="F53" i="3"/>
  <c r="E53" i="3"/>
  <c r="D53" i="3"/>
  <c r="C53" i="3"/>
  <c r="B53" i="3"/>
  <c r="K52" i="3"/>
  <c r="J52" i="3"/>
  <c r="I52" i="3"/>
  <c r="H52" i="3"/>
  <c r="G52" i="3"/>
  <c r="F52" i="3"/>
  <c r="E52" i="3"/>
  <c r="D52" i="3"/>
  <c r="C52" i="3"/>
  <c r="B52" i="3"/>
  <c r="K51" i="3"/>
  <c r="J51" i="3"/>
  <c r="I51" i="3"/>
  <c r="H51" i="3"/>
  <c r="G51" i="3"/>
  <c r="F51" i="3"/>
  <c r="E51" i="3"/>
  <c r="D51" i="3"/>
  <c r="C51" i="3"/>
  <c r="B51" i="3"/>
  <c r="K50" i="3"/>
  <c r="J50" i="3"/>
  <c r="I50" i="3"/>
  <c r="H50" i="3"/>
  <c r="G50" i="3"/>
  <c r="F50" i="3"/>
  <c r="E50" i="3"/>
  <c r="D50" i="3"/>
  <c r="C50" i="3"/>
  <c r="B50" i="3"/>
  <c r="K49" i="3"/>
  <c r="J49" i="3"/>
  <c r="I49" i="3"/>
  <c r="H49" i="3"/>
  <c r="G49" i="3"/>
  <c r="F49" i="3"/>
  <c r="E49" i="3"/>
  <c r="D49" i="3"/>
  <c r="C49" i="3"/>
  <c r="B49" i="3"/>
  <c r="K48" i="3"/>
  <c r="J48" i="3"/>
  <c r="I48" i="3"/>
  <c r="H48" i="3"/>
  <c r="G48" i="3"/>
  <c r="F48" i="3"/>
  <c r="E48" i="3"/>
  <c r="D48" i="3"/>
  <c r="C48" i="3"/>
  <c r="B48" i="3"/>
  <c r="K47" i="3"/>
  <c r="J47" i="3"/>
  <c r="I47" i="3"/>
  <c r="H47" i="3"/>
  <c r="G47" i="3"/>
  <c r="F47" i="3"/>
  <c r="E47" i="3"/>
  <c r="D47" i="3"/>
  <c r="C47" i="3"/>
  <c r="B47" i="3"/>
  <c r="K46" i="3"/>
  <c r="J46" i="3"/>
  <c r="I46" i="3"/>
  <c r="H46" i="3"/>
  <c r="G46" i="3"/>
  <c r="F46" i="3"/>
  <c r="E46" i="3"/>
  <c r="D46" i="3"/>
  <c r="C46" i="3"/>
  <c r="B46" i="3"/>
  <c r="K45" i="3"/>
  <c r="J45" i="3"/>
  <c r="I45" i="3"/>
  <c r="H45" i="3"/>
  <c r="G45" i="3"/>
  <c r="F45" i="3"/>
  <c r="E45" i="3"/>
  <c r="D45" i="3"/>
  <c r="C45" i="3"/>
  <c r="B45" i="3"/>
  <c r="K44" i="3"/>
  <c r="J44" i="3"/>
  <c r="I44" i="3"/>
  <c r="H44" i="3"/>
  <c r="G44" i="3"/>
  <c r="F44" i="3"/>
  <c r="E44" i="3"/>
  <c r="D44" i="3"/>
  <c r="C44" i="3"/>
  <c r="B44" i="3"/>
  <c r="K39" i="3"/>
  <c r="J39" i="3"/>
  <c r="I39" i="3"/>
  <c r="H39" i="3"/>
  <c r="G39" i="3"/>
  <c r="F39" i="3"/>
  <c r="E39" i="3"/>
  <c r="D39" i="3"/>
  <c r="C39" i="3"/>
  <c r="B39" i="3"/>
  <c r="K38" i="3"/>
  <c r="J38" i="3"/>
  <c r="I38" i="3"/>
  <c r="H38" i="3"/>
  <c r="G38" i="3"/>
  <c r="F38" i="3"/>
  <c r="E38" i="3"/>
  <c r="D38" i="3"/>
  <c r="C38" i="3"/>
  <c r="B38" i="3"/>
  <c r="K37" i="3"/>
  <c r="J37" i="3"/>
  <c r="I37" i="3"/>
  <c r="H37" i="3"/>
  <c r="G37" i="3"/>
  <c r="F37" i="3"/>
  <c r="E37" i="3"/>
  <c r="D37" i="3"/>
  <c r="C37" i="3"/>
  <c r="B37" i="3"/>
  <c r="K36" i="3"/>
  <c r="J36" i="3"/>
  <c r="I36" i="3"/>
  <c r="H36" i="3"/>
  <c r="G36" i="3"/>
  <c r="F36" i="3"/>
  <c r="E36" i="3"/>
  <c r="D36" i="3"/>
  <c r="C36" i="3"/>
  <c r="B36" i="3"/>
  <c r="K35" i="3"/>
  <c r="J35" i="3"/>
  <c r="I35" i="3"/>
  <c r="H35" i="3"/>
  <c r="G35" i="3"/>
  <c r="F35" i="3"/>
  <c r="E35" i="3"/>
  <c r="D35" i="3"/>
  <c r="C35" i="3"/>
  <c r="B35" i="3"/>
  <c r="K34" i="3"/>
  <c r="J34" i="3"/>
  <c r="I34" i="3"/>
  <c r="H34" i="3"/>
  <c r="G34" i="3"/>
  <c r="F34" i="3"/>
  <c r="E34" i="3"/>
  <c r="D34" i="3"/>
  <c r="C34" i="3"/>
  <c r="B34" i="3"/>
  <c r="K33" i="3"/>
  <c r="J33" i="3"/>
  <c r="I33" i="3"/>
  <c r="H33" i="3"/>
  <c r="G33" i="3"/>
  <c r="F33" i="3"/>
  <c r="E33" i="3"/>
  <c r="D33" i="3"/>
  <c r="C33" i="3"/>
  <c r="B33" i="3"/>
  <c r="K32" i="3"/>
  <c r="J32" i="3"/>
  <c r="I32" i="3"/>
  <c r="H32" i="3"/>
  <c r="G32" i="3"/>
  <c r="F32" i="3"/>
  <c r="E32" i="3"/>
  <c r="D32" i="3"/>
  <c r="C32" i="3"/>
  <c r="B32" i="3"/>
  <c r="K31" i="3"/>
  <c r="J31" i="3"/>
  <c r="I31" i="3"/>
  <c r="H31" i="3"/>
  <c r="G31" i="3"/>
  <c r="F31" i="3"/>
  <c r="E31" i="3"/>
  <c r="D31" i="3"/>
  <c r="C31" i="3"/>
  <c r="B31" i="3"/>
  <c r="K30" i="3"/>
  <c r="J30" i="3"/>
  <c r="I30" i="3"/>
  <c r="H30" i="3"/>
  <c r="G30" i="3"/>
  <c r="F30" i="3"/>
  <c r="E30" i="3"/>
  <c r="D30" i="3"/>
  <c r="C30" i="3"/>
  <c r="B30" i="3"/>
  <c r="K25" i="3"/>
  <c r="J25" i="3"/>
  <c r="I25" i="3"/>
  <c r="H25" i="3"/>
  <c r="G25" i="3"/>
  <c r="F25" i="3"/>
  <c r="E25" i="3"/>
  <c r="D25" i="3"/>
  <c r="C25" i="3"/>
  <c r="B25" i="3"/>
  <c r="K24" i="3"/>
  <c r="J24" i="3"/>
  <c r="I24" i="3"/>
  <c r="H24" i="3"/>
  <c r="G24" i="3"/>
  <c r="F24" i="3"/>
  <c r="E24" i="3"/>
  <c r="D24" i="3"/>
  <c r="C24" i="3"/>
  <c r="B24" i="3"/>
  <c r="K23" i="3"/>
  <c r="J23" i="3"/>
  <c r="I23" i="3"/>
  <c r="H23" i="3"/>
  <c r="G23" i="3"/>
  <c r="F23" i="3"/>
  <c r="E23" i="3"/>
  <c r="D23" i="3"/>
  <c r="C23" i="3"/>
  <c r="B23" i="3"/>
  <c r="K22" i="3"/>
  <c r="J22" i="3"/>
  <c r="I22" i="3"/>
  <c r="H22" i="3"/>
  <c r="G22" i="3"/>
  <c r="F22" i="3"/>
  <c r="E22" i="3"/>
  <c r="D22" i="3"/>
  <c r="C22" i="3"/>
  <c r="B22" i="3"/>
  <c r="K21" i="3"/>
  <c r="J21" i="3"/>
  <c r="I21" i="3"/>
  <c r="H21" i="3"/>
  <c r="G21" i="3"/>
  <c r="F21" i="3"/>
  <c r="E21" i="3"/>
  <c r="D21" i="3"/>
  <c r="C21" i="3"/>
  <c r="B21" i="3"/>
  <c r="K20" i="3"/>
  <c r="J20" i="3"/>
  <c r="I20" i="3"/>
  <c r="H20" i="3"/>
  <c r="G20" i="3"/>
  <c r="F20" i="3"/>
  <c r="E20" i="3"/>
  <c r="D20" i="3"/>
  <c r="C20" i="3"/>
  <c r="B20" i="3"/>
  <c r="K19" i="3"/>
  <c r="J19" i="3"/>
  <c r="I19" i="3"/>
  <c r="H19" i="3"/>
  <c r="G19" i="3"/>
  <c r="F19" i="3"/>
  <c r="E19" i="3"/>
  <c r="D19" i="3"/>
  <c r="C19" i="3"/>
  <c r="B19" i="3"/>
  <c r="K18" i="3"/>
  <c r="J18" i="3"/>
  <c r="I18" i="3"/>
  <c r="H18" i="3"/>
  <c r="G18" i="3"/>
  <c r="F18" i="3"/>
  <c r="E18" i="3"/>
  <c r="D18" i="3"/>
  <c r="C18" i="3"/>
  <c r="B18" i="3"/>
  <c r="K17" i="3"/>
  <c r="J17" i="3"/>
  <c r="I17" i="3"/>
  <c r="H17" i="3"/>
  <c r="G17" i="3"/>
  <c r="F17" i="3"/>
  <c r="E17" i="3"/>
  <c r="D17" i="3"/>
  <c r="C17" i="3"/>
  <c r="B17" i="3"/>
  <c r="K16" i="3"/>
  <c r="J16" i="3"/>
  <c r="I16" i="3"/>
  <c r="H16" i="3"/>
  <c r="G16" i="3"/>
  <c r="F16" i="3"/>
  <c r="E16" i="3"/>
  <c r="D16" i="3"/>
  <c r="C16" i="3"/>
  <c r="B16" i="3"/>
  <c r="F11" i="3"/>
  <c r="J9" i="3"/>
  <c r="G9" i="3"/>
  <c r="F9" i="3"/>
  <c r="E9" i="3"/>
  <c r="C9" i="3"/>
  <c r="B9" i="3"/>
  <c r="I9" i="3" s="1"/>
  <c r="A9" i="3"/>
  <c r="H9" i="3" s="1"/>
  <c r="G8" i="3"/>
  <c r="F8" i="3"/>
  <c r="E8" i="3"/>
  <c r="H8" i="3" s="1"/>
  <c r="C8" i="3"/>
  <c r="J8" i="3" s="1"/>
  <c r="B8" i="3"/>
  <c r="I8" i="3" s="1"/>
  <c r="A8" i="3"/>
  <c r="G7" i="3"/>
  <c r="F7" i="3"/>
  <c r="I7" i="3" s="1"/>
  <c r="E7" i="3"/>
  <c r="H7" i="3" s="1"/>
  <c r="C7" i="3"/>
  <c r="J7" i="3" s="1"/>
  <c r="B7" i="3"/>
  <c r="A7" i="3"/>
  <c r="I11" i="3" l="1"/>
  <c r="I12" i="3" s="1"/>
</calcChain>
</file>

<file path=xl/sharedStrings.xml><?xml version="1.0" encoding="utf-8"?>
<sst xmlns="http://schemas.openxmlformats.org/spreadsheetml/2006/main" count="42" uniqueCount="34">
  <si>
    <t>Matriz de datos (10×10)</t>
  </si>
  <si>
    <t>i\j</t>
  </si>
  <si>
    <t>Kernels 3×3 (pesos editables)</t>
  </si>
  <si>
    <t>Nota: Puedes editar los pesos en azul para ver cómo cambia la convolución.</t>
  </si>
  <si>
    <t>Promedio (box blur)</t>
  </si>
  <si>
    <t>Gaussiano (aprox.)</t>
  </si>
  <si>
    <t>Factor</t>
  </si>
  <si>
    <t>N</t>
  </si>
  <si>
    <t>Normalización</t>
  </si>
  <si>
    <t>Salida típica: (1/N)·sum(k⊙vecindad).</t>
  </si>
  <si>
    <t>Suavizado con mayor peso al centro.</t>
  </si>
  <si>
    <t>Sobel X</t>
  </si>
  <si>
    <t>Sobel Y</t>
  </si>
  <si>
    <t>Detecta cambios horizontales (bordes verticales).</t>
  </si>
  <si>
    <t>Detecta cambios verticales (bordes horizontales).</t>
  </si>
  <si>
    <t>Laplaciano</t>
  </si>
  <si>
    <t>Realce de bordes (segunda derivada).</t>
  </si>
  <si>
    <t>Convolución 3×3 con fórmulas (sin macros)</t>
  </si>
  <si>
    <t>Las celdas interiores (i=1..8, j=1..8) se calculan con SUMA de 9 términos usando INDEX(). Bordes se dejan en blanco.</t>
  </si>
  <si>
    <t>Pixel de ejemplo (centro):</t>
  </si>
  <si>
    <t>i</t>
  </si>
  <si>
    <t>j</t>
  </si>
  <si>
    <t>(edita i,j para ver el cálculo)</t>
  </si>
  <si>
    <t>Vecindad 3×3 de Datos</t>
  </si>
  <si>
    <t>Kernel (elige)</t>
  </si>
  <si>
    <t>Producto</t>
  </si>
  <si>
    <t>Factor N</t>
  </si>
  <si>
    <t>Suma</t>
  </si>
  <si>
    <t>Salida (Suma/N)</t>
  </si>
  <si>
    <t>Filtro Promedio 3×3 (normalizado)</t>
  </si>
  <si>
    <t>Filtro Gaussiano 3×3 (normalizado)</t>
  </si>
  <si>
    <t>Sobel X 3×3 (magnitud cruda)</t>
  </si>
  <si>
    <t>Sobel Y 3×3 (magnitud cruda)</t>
  </si>
  <si>
    <t>Laplaciano 3×3 (valor crudo)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</si>
</sst>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rgb="FFFFFFFF"/>
      <name val="Calibri"/>
      <family val="2"/>
    </font>
    <font>
      <sz val="11"/>
      <color rgb="FF0000FF"/>
      <name val="Calibri"/>
      <family val="2"/>
    </font>
    <font>
      <b/>
      <sz val="11"/>
      <name val="Calibri"/>
      <family val="2"/>
    </font>
    <font>
      <sz val="9"/>
      <name val="Calibri"/>
      <family val="2"/>
    </font>
    <font>
      <sz val="9"/>
      <color rgb="FF404040"/>
      <name val="Calibri"/>
      <family val="2"/>
    </font>
    <font>
      <b/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1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/>
    <xf numFmtId="0" fontId="0" fillId="0" borderId="0" xfId="0"/>
    <xf numFmtId="0" fontId="6" fillId="0" borderId="0" xfId="0" applyFont="1" applyAlignment="1">
      <alignment wrapText="1"/>
    </xf>
    <xf numFmtId="0" fontId="0" fillId="0" borderId="0" xfId="0" applyAlignment="1">
      <alignment wrapText="1"/>
    </xf>
    <xf numFmtId="0" fontId="4" fillId="3" borderId="0" xfId="0" applyFont="1" applyFill="1" applyAlignment="1">
      <alignment horizontal="center" vertical="center" wrapText="1"/>
    </xf>
    <xf numFmtId="0" fontId="7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workbookViewId="0">
      <selection sqref="A1:K1"/>
    </sheetView>
  </sheetViews>
  <sheetFormatPr baseColWidth="10" defaultColWidth="8.83203125" defaultRowHeight="15" x14ac:dyDescent="0.2"/>
  <cols>
    <col min="1" max="11" width="6" customWidth="1"/>
  </cols>
  <sheetData>
    <row r="1" spans="1:11" ht="29.25" customHeight="1" x14ac:dyDescent="0.2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ht="24" customHeight="1" x14ac:dyDescent="0.2">
      <c r="A2" s="1" t="s">
        <v>1</v>
      </c>
      <c r="B2" s="1">
        <v>0</v>
      </c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</row>
    <row r="3" spans="1:11" ht="24" customHeight="1" x14ac:dyDescent="0.2">
      <c r="A3" s="1">
        <v>0</v>
      </c>
      <c r="B3" s="2">
        <v>132</v>
      </c>
      <c r="C3" s="2">
        <v>101</v>
      </c>
      <c r="D3" s="2">
        <v>111</v>
      </c>
      <c r="E3" s="2">
        <v>109</v>
      </c>
      <c r="F3" s="2">
        <v>106</v>
      </c>
      <c r="G3" s="2">
        <v>88</v>
      </c>
      <c r="H3" s="2">
        <v>39</v>
      </c>
      <c r="I3" s="2">
        <v>37</v>
      </c>
      <c r="J3" s="2">
        <v>45</v>
      </c>
      <c r="K3" s="2">
        <v>48</v>
      </c>
    </row>
    <row r="4" spans="1:11" ht="24" customHeight="1" x14ac:dyDescent="0.2">
      <c r="A4" s="1">
        <v>1</v>
      </c>
      <c r="B4" s="2">
        <v>112</v>
      </c>
      <c r="C4" s="2">
        <v>101</v>
      </c>
      <c r="D4" s="2">
        <v>104</v>
      </c>
      <c r="E4" s="2">
        <v>95</v>
      </c>
      <c r="F4" s="2">
        <v>83</v>
      </c>
      <c r="G4" s="2">
        <v>76</v>
      </c>
      <c r="H4" s="2">
        <v>72</v>
      </c>
      <c r="I4" s="2">
        <v>91</v>
      </c>
      <c r="J4" s="2">
        <v>41</v>
      </c>
      <c r="K4" s="2">
        <v>46</v>
      </c>
    </row>
    <row r="5" spans="1:11" ht="24" customHeight="1" x14ac:dyDescent="0.2">
      <c r="A5" s="1">
        <v>2</v>
      </c>
      <c r="B5" s="2">
        <v>104</v>
      </c>
      <c r="C5" s="2">
        <v>123</v>
      </c>
      <c r="D5" s="2">
        <v>123</v>
      </c>
      <c r="E5" s="2">
        <v>114</v>
      </c>
      <c r="F5" s="2">
        <v>90</v>
      </c>
      <c r="G5" s="2">
        <v>80</v>
      </c>
      <c r="H5" s="2">
        <v>110</v>
      </c>
      <c r="I5" s="2">
        <v>131</v>
      </c>
      <c r="J5" s="2">
        <v>116</v>
      </c>
      <c r="K5" s="2">
        <v>104</v>
      </c>
    </row>
    <row r="6" spans="1:11" ht="24" customHeight="1" x14ac:dyDescent="0.2">
      <c r="A6" s="1">
        <v>3</v>
      </c>
      <c r="B6" s="2">
        <v>124</v>
      </c>
      <c r="C6" s="2">
        <v>148</v>
      </c>
      <c r="D6" s="2">
        <v>128</v>
      </c>
      <c r="E6" s="2">
        <v>116</v>
      </c>
      <c r="F6" s="2">
        <v>93</v>
      </c>
      <c r="G6" s="2">
        <v>85</v>
      </c>
      <c r="H6" s="2">
        <v>128</v>
      </c>
      <c r="I6" s="2">
        <v>139</v>
      </c>
      <c r="J6" s="2">
        <v>165</v>
      </c>
      <c r="K6" s="2">
        <v>145</v>
      </c>
    </row>
    <row r="7" spans="1:11" ht="24" customHeight="1" x14ac:dyDescent="0.2">
      <c r="A7" s="1">
        <v>4</v>
      </c>
      <c r="B7" s="2">
        <v>138</v>
      </c>
      <c r="C7" s="2">
        <v>138</v>
      </c>
      <c r="D7" s="2">
        <v>94</v>
      </c>
      <c r="E7" s="2">
        <v>82</v>
      </c>
      <c r="F7" s="2">
        <v>79</v>
      </c>
      <c r="G7" s="2">
        <v>89</v>
      </c>
      <c r="H7" s="2">
        <v>135</v>
      </c>
      <c r="I7" s="2">
        <v>140</v>
      </c>
      <c r="J7" s="2">
        <v>129</v>
      </c>
      <c r="K7" s="2">
        <v>118</v>
      </c>
    </row>
    <row r="8" spans="1:11" ht="24" customHeight="1" x14ac:dyDescent="0.2">
      <c r="A8" s="1">
        <v>5</v>
      </c>
      <c r="B8" s="2">
        <v>111</v>
      </c>
      <c r="C8" s="2">
        <v>100</v>
      </c>
      <c r="D8" s="2">
        <v>78</v>
      </c>
      <c r="E8" s="2">
        <v>84</v>
      </c>
      <c r="F8" s="2">
        <v>101</v>
      </c>
      <c r="G8" s="2">
        <v>117</v>
      </c>
      <c r="H8" s="2">
        <v>140</v>
      </c>
      <c r="I8" s="2">
        <v>141</v>
      </c>
      <c r="J8" s="2">
        <v>130</v>
      </c>
      <c r="K8" s="2">
        <v>114</v>
      </c>
    </row>
    <row r="9" spans="1:11" ht="24" customHeight="1" x14ac:dyDescent="0.2">
      <c r="A9" s="1">
        <v>6</v>
      </c>
      <c r="B9" s="2">
        <v>72</v>
      </c>
      <c r="C9" s="2">
        <v>67</v>
      </c>
      <c r="D9" s="2">
        <v>88</v>
      </c>
      <c r="E9" s="2">
        <v>109</v>
      </c>
      <c r="F9" s="2">
        <v>127</v>
      </c>
      <c r="G9" s="2">
        <v>134</v>
      </c>
      <c r="H9" s="2">
        <v>126</v>
      </c>
      <c r="I9" s="2">
        <v>134</v>
      </c>
      <c r="J9" s="2">
        <v>158</v>
      </c>
      <c r="K9" s="2">
        <v>128</v>
      </c>
    </row>
    <row r="10" spans="1:11" ht="24" customHeight="1" x14ac:dyDescent="0.2">
      <c r="A10" s="1">
        <v>7</v>
      </c>
      <c r="B10" s="2">
        <v>58</v>
      </c>
      <c r="C10" s="2">
        <v>51</v>
      </c>
      <c r="D10" s="2">
        <v>90</v>
      </c>
      <c r="E10" s="2">
        <v>105</v>
      </c>
      <c r="F10" s="2">
        <v>111</v>
      </c>
      <c r="G10" s="2">
        <v>115</v>
      </c>
      <c r="H10" s="2">
        <v>100</v>
      </c>
      <c r="I10" s="2">
        <v>126</v>
      </c>
      <c r="J10" s="2">
        <v>135</v>
      </c>
      <c r="K10" s="2">
        <v>107</v>
      </c>
    </row>
    <row r="11" spans="1:11" ht="24" customHeight="1" x14ac:dyDescent="0.2">
      <c r="A11" s="1">
        <v>8</v>
      </c>
      <c r="B11" s="2">
        <v>49</v>
      </c>
      <c r="C11" s="2">
        <v>70</v>
      </c>
      <c r="D11" s="2">
        <v>67</v>
      </c>
      <c r="E11" s="2">
        <v>74</v>
      </c>
      <c r="F11" s="2">
        <v>99</v>
      </c>
      <c r="G11" s="2">
        <v>93</v>
      </c>
      <c r="H11" s="2">
        <v>102</v>
      </c>
      <c r="I11" s="2">
        <v>152</v>
      </c>
      <c r="J11" s="2">
        <v>128</v>
      </c>
      <c r="K11" s="2">
        <v>79</v>
      </c>
    </row>
    <row r="12" spans="1:11" ht="24" customHeight="1" x14ac:dyDescent="0.2">
      <c r="A12" s="1">
        <v>9</v>
      </c>
      <c r="B12" s="2">
        <v>82</v>
      </c>
      <c r="C12" s="2">
        <v>99</v>
      </c>
      <c r="D12" s="2">
        <v>81</v>
      </c>
      <c r="E12" s="2">
        <v>62</v>
      </c>
      <c r="F12" s="2">
        <v>73</v>
      </c>
      <c r="G12" s="2">
        <v>77</v>
      </c>
      <c r="H12" s="2">
        <v>99</v>
      </c>
      <c r="I12" s="2">
        <v>150</v>
      </c>
      <c r="J12" s="2">
        <v>128</v>
      </c>
      <c r="K12" s="2">
        <v>96</v>
      </c>
    </row>
  </sheetData>
  <mergeCells count="1">
    <mergeCell ref="A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"/>
  <sheetViews>
    <sheetView workbookViewId="0"/>
  </sheetViews>
  <sheetFormatPr baseColWidth="10" defaultColWidth="8.83203125" defaultRowHeight="15" x14ac:dyDescent="0.2"/>
  <cols>
    <col min="1" max="1" width="2" customWidth="1"/>
    <col min="2" max="4" width="6" customWidth="1"/>
    <col min="5" max="6" width="12" customWidth="1"/>
    <col min="7" max="9" width="6" customWidth="1"/>
    <col min="10" max="11" width="12" customWidth="1"/>
  </cols>
  <sheetData>
    <row r="1" spans="1:11" ht="24" customHeight="1" x14ac:dyDescent="0.25">
      <c r="A1" s="11" t="s">
        <v>2</v>
      </c>
      <c r="B1" s="12"/>
      <c r="C1" s="12"/>
      <c r="D1" s="12"/>
      <c r="E1" s="12"/>
      <c r="F1" s="12"/>
      <c r="G1" s="12"/>
      <c r="H1" s="12"/>
    </row>
    <row r="2" spans="1:11" ht="24" customHeight="1" x14ac:dyDescent="0.2">
      <c r="A2" s="14" t="s">
        <v>3</v>
      </c>
      <c r="B2" s="12"/>
      <c r="C2" s="12"/>
      <c r="D2" s="12"/>
      <c r="E2" s="12"/>
      <c r="F2" s="12"/>
      <c r="G2" s="12"/>
      <c r="H2" s="12"/>
    </row>
    <row r="3" spans="1:11" ht="24" customHeight="1" x14ac:dyDescent="0.2"/>
    <row r="4" spans="1:11" ht="24" customHeight="1" x14ac:dyDescent="0.2">
      <c r="B4" s="15" t="s">
        <v>4</v>
      </c>
      <c r="C4" s="12"/>
      <c r="D4" s="12"/>
      <c r="G4" s="15" t="s">
        <v>5</v>
      </c>
      <c r="H4" s="12"/>
      <c r="I4" s="12"/>
    </row>
    <row r="5" spans="1:11" ht="24" customHeight="1" x14ac:dyDescent="0.2">
      <c r="B5" s="3">
        <v>1</v>
      </c>
      <c r="C5" s="3">
        <v>1</v>
      </c>
      <c r="D5" s="3">
        <v>1</v>
      </c>
      <c r="E5" s="4" t="s">
        <v>6</v>
      </c>
      <c r="F5" s="4" t="s">
        <v>7</v>
      </c>
      <c r="G5" s="3">
        <v>1</v>
      </c>
      <c r="H5" s="3">
        <v>2</v>
      </c>
      <c r="I5" s="3">
        <v>1</v>
      </c>
      <c r="J5" s="4" t="s">
        <v>6</v>
      </c>
      <c r="K5" s="4" t="s">
        <v>7</v>
      </c>
    </row>
    <row r="6" spans="1:11" ht="24" customHeight="1" x14ac:dyDescent="0.2">
      <c r="B6" s="3">
        <v>1</v>
      </c>
      <c r="C6" s="3">
        <v>1</v>
      </c>
      <c r="D6" s="3">
        <v>1</v>
      </c>
      <c r="E6" s="5" t="s">
        <v>8</v>
      </c>
      <c r="F6" s="6">
        <v>9</v>
      </c>
      <c r="G6" s="3">
        <v>2</v>
      </c>
      <c r="H6" s="3">
        <v>4</v>
      </c>
      <c r="I6" s="3">
        <v>2</v>
      </c>
      <c r="J6" s="5" t="s">
        <v>8</v>
      </c>
      <c r="K6" s="6">
        <v>16</v>
      </c>
    </row>
    <row r="7" spans="1:11" ht="24" customHeight="1" x14ac:dyDescent="0.2">
      <c r="B7" s="3">
        <v>1</v>
      </c>
      <c r="C7" s="3">
        <v>1</v>
      </c>
      <c r="D7" s="3">
        <v>1</v>
      </c>
      <c r="G7" s="3">
        <v>1</v>
      </c>
      <c r="H7" s="3">
        <v>2</v>
      </c>
      <c r="I7" s="3">
        <v>1</v>
      </c>
    </row>
    <row r="8" spans="1:11" ht="24" customHeight="1" x14ac:dyDescent="0.2"/>
    <row r="9" spans="1:11" ht="24" customHeight="1" x14ac:dyDescent="0.2">
      <c r="B9" s="13" t="s">
        <v>9</v>
      </c>
      <c r="C9" s="12"/>
      <c r="D9" s="12"/>
      <c r="E9" s="12"/>
      <c r="F9" s="12"/>
      <c r="G9" s="13" t="s">
        <v>10</v>
      </c>
      <c r="H9" s="12"/>
      <c r="I9" s="12"/>
      <c r="J9" s="12"/>
      <c r="K9" s="12"/>
    </row>
    <row r="10" spans="1:11" ht="24" customHeight="1" x14ac:dyDescent="0.2"/>
    <row r="11" spans="1:11" ht="24" customHeight="1" x14ac:dyDescent="0.2"/>
    <row r="12" spans="1:11" ht="24" customHeight="1" x14ac:dyDescent="0.2">
      <c r="B12" s="15" t="s">
        <v>11</v>
      </c>
      <c r="C12" s="12"/>
      <c r="D12" s="12"/>
      <c r="G12" s="15" t="s">
        <v>12</v>
      </c>
      <c r="H12" s="12"/>
      <c r="I12" s="12"/>
    </row>
    <row r="13" spans="1:11" ht="24" customHeight="1" x14ac:dyDescent="0.2">
      <c r="B13" s="3">
        <v>-1</v>
      </c>
      <c r="C13" s="3">
        <v>0</v>
      </c>
      <c r="D13" s="3">
        <v>1</v>
      </c>
      <c r="G13" s="3">
        <v>-1</v>
      </c>
      <c r="H13" s="3">
        <v>-2</v>
      </c>
      <c r="I13" s="3">
        <v>-1</v>
      </c>
    </row>
    <row r="14" spans="1:11" ht="24" customHeight="1" x14ac:dyDescent="0.2">
      <c r="B14" s="3">
        <v>-2</v>
      </c>
      <c r="C14" s="3">
        <v>0</v>
      </c>
      <c r="D14" s="3">
        <v>2</v>
      </c>
      <c r="G14" s="3">
        <v>0</v>
      </c>
      <c r="H14" s="3">
        <v>0</v>
      </c>
      <c r="I14" s="3">
        <v>0</v>
      </c>
    </row>
    <row r="15" spans="1:11" ht="24" customHeight="1" x14ac:dyDescent="0.2">
      <c r="B15" s="3">
        <v>-1</v>
      </c>
      <c r="C15" s="3">
        <v>0</v>
      </c>
      <c r="D15" s="3">
        <v>1</v>
      </c>
      <c r="G15" s="3">
        <v>1</v>
      </c>
      <c r="H15" s="3">
        <v>2</v>
      </c>
      <c r="I15" s="3">
        <v>1</v>
      </c>
    </row>
    <row r="16" spans="1:11" ht="24" customHeight="1" x14ac:dyDescent="0.2"/>
    <row r="17" spans="2:11" ht="24" customHeight="1" x14ac:dyDescent="0.2">
      <c r="B17" s="13" t="s">
        <v>13</v>
      </c>
      <c r="C17" s="12"/>
      <c r="D17" s="12"/>
      <c r="E17" s="12"/>
      <c r="F17" s="12"/>
      <c r="G17" s="13" t="s">
        <v>14</v>
      </c>
      <c r="H17" s="12"/>
      <c r="I17" s="12"/>
      <c r="J17" s="12"/>
      <c r="K17" s="12"/>
    </row>
    <row r="18" spans="2:11" ht="24" customHeight="1" x14ac:dyDescent="0.2"/>
    <row r="19" spans="2:11" ht="24" customHeight="1" x14ac:dyDescent="0.2"/>
    <row r="20" spans="2:11" ht="24" customHeight="1" x14ac:dyDescent="0.2">
      <c r="B20" s="15" t="s">
        <v>15</v>
      </c>
      <c r="C20" s="12"/>
      <c r="D20" s="12"/>
    </row>
    <row r="21" spans="2:11" ht="24" customHeight="1" x14ac:dyDescent="0.2">
      <c r="B21" s="3">
        <v>0</v>
      </c>
      <c r="C21" s="3">
        <v>1</v>
      </c>
      <c r="D21" s="3">
        <v>0</v>
      </c>
    </row>
    <row r="22" spans="2:11" ht="24" customHeight="1" x14ac:dyDescent="0.2">
      <c r="B22" s="3">
        <v>1</v>
      </c>
      <c r="C22" s="3">
        <v>-4</v>
      </c>
      <c r="D22" s="3">
        <v>1</v>
      </c>
    </row>
    <row r="23" spans="2:11" ht="24" customHeight="1" x14ac:dyDescent="0.2">
      <c r="B23" s="3">
        <v>0</v>
      </c>
      <c r="C23" s="3">
        <v>1</v>
      </c>
      <c r="D23" s="3">
        <v>0</v>
      </c>
    </row>
    <row r="24" spans="2:11" ht="24" customHeight="1" x14ac:dyDescent="0.2"/>
    <row r="25" spans="2:11" ht="24" customHeight="1" x14ac:dyDescent="0.2">
      <c r="B25" s="13" t="s">
        <v>16</v>
      </c>
      <c r="C25" s="12"/>
      <c r="D25" s="12"/>
      <c r="E25" s="12"/>
      <c r="F25" s="12"/>
    </row>
    <row r="26" spans="2:11" ht="24" customHeight="1" x14ac:dyDescent="0.2"/>
    <row r="27" spans="2:11" ht="24" customHeight="1" x14ac:dyDescent="0.2"/>
    <row r="28" spans="2:11" ht="24" customHeight="1" x14ac:dyDescent="0.2"/>
    <row r="29" spans="2:11" ht="24" customHeight="1" x14ac:dyDescent="0.2"/>
  </sheetData>
  <mergeCells count="12">
    <mergeCell ref="A1:H1"/>
    <mergeCell ref="B12:D12"/>
    <mergeCell ref="B17:F17"/>
    <mergeCell ref="B9:F9"/>
    <mergeCell ref="G9:K9"/>
    <mergeCell ref="G17:K17"/>
    <mergeCell ref="A2:H2"/>
    <mergeCell ref="B25:F25"/>
    <mergeCell ref="B4:D4"/>
    <mergeCell ref="G4:I4"/>
    <mergeCell ref="G12:I12"/>
    <mergeCell ref="B20:D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9"/>
  <sheetViews>
    <sheetView tabSelected="1" workbookViewId="0">
      <selection activeCell="Q18" sqref="Q18"/>
    </sheetView>
  </sheetViews>
  <sheetFormatPr baseColWidth="10" defaultColWidth="9.33203125" defaultRowHeight="15" x14ac:dyDescent="0.2"/>
  <sheetData>
    <row r="1" spans="1:11" ht="24" customHeight="1" x14ac:dyDescent="0.25">
      <c r="A1" s="11" t="s">
        <v>17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ht="48" customHeight="1" x14ac:dyDescent="0.2">
      <c r="A2" s="14" t="s">
        <v>18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1" ht="24" customHeight="1" x14ac:dyDescent="0.2"/>
    <row r="4" spans="1:11" ht="24" customHeight="1" x14ac:dyDescent="0.2">
      <c r="A4" s="4" t="s">
        <v>19</v>
      </c>
      <c r="B4" t="s">
        <v>20</v>
      </c>
      <c r="C4" s="7">
        <v>5</v>
      </c>
      <c r="D4" t="s">
        <v>21</v>
      </c>
      <c r="E4" s="7">
        <v>5</v>
      </c>
      <c r="F4" s="13" t="s">
        <v>22</v>
      </c>
      <c r="G4" s="12"/>
      <c r="H4" s="12"/>
      <c r="I4" s="12"/>
      <c r="J4" s="12"/>
      <c r="K4" s="12"/>
    </row>
    <row r="5" spans="1:11" ht="24" customHeight="1" x14ac:dyDescent="0.2"/>
    <row r="6" spans="1:11" ht="24" customHeight="1" x14ac:dyDescent="0.2">
      <c r="A6" s="17" t="s">
        <v>23</v>
      </c>
      <c r="B6" s="12"/>
      <c r="C6" s="12"/>
      <c r="E6" s="17" t="s">
        <v>24</v>
      </c>
      <c r="F6" s="12"/>
      <c r="G6" s="12"/>
      <c r="H6" s="4" t="s">
        <v>25</v>
      </c>
    </row>
    <row r="7" spans="1:11" ht="24" customHeight="1" x14ac:dyDescent="0.2">
      <c r="A7" s="8">
        <f>INDEX(Datos!$B$3:$K$12,$C$4+0,$E$4+0)</f>
        <v>79</v>
      </c>
      <c r="B7" s="8">
        <f>INDEX(Datos!$B$3:$K$12,$C$4+0,$E$4+1)</f>
        <v>89</v>
      </c>
      <c r="C7" s="8">
        <f>INDEX(Datos!$B$3:$K$12,$C$4+0,$E$4+2)</f>
        <v>135</v>
      </c>
      <c r="E7" s="9">
        <f>Kernels!B5</f>
        <v>1</v>
      </c>
      <c r="F7" s="3">
        <f>Kernels!C5</f>
        <v>1</v>
      </c>
      <c r="G7" s="9">
        <f>Kernels!D5</f>
        <v>1</v>
      </c>
      <c r="H7" s="9">
        <f t="shared" ref="H7:J9" si="0">A7*E7</f>
        <v>79</v>
      </c>
      <c r="I7" s="9">
        <f t="shared" si="0"/>
        <v>89</v>
      </c>
      <c r="J7" s="9">
        <f t="shared" si="0"/>
        <v>135</v>
      </c>
    </row>
    <row r="8" spans="1:11" ht="24" customHeight="1" x14ac:dyDescent="0.2">
      <c r="A8" s="8">
        <f>INDEX(Datos!$B$3:$K$12,$C$4+1,$E$4+0)</f>
        <v>101</v>
      </c>
      <c r="B8" s="8">
        <f>INDEX(Datos!$B$3:$K$12,$C$4+1,$E$4+1)</f>
        <v>117</v>
      </c>
      <c r="C8" s="8">
        <f>INDEX(Datos!$B$3:$K$12,$C$4+1,$E$4+2)</f>
        <v>140</v>
      </c>
      <c r="E8" s="9">
        <f>Kernels!B6</f>
        <v>1</v>
      </c>
      <c r="F8" s="9">
        <f>Kernels!C6</f>
        <v>1</v>
      </c>
      <c r="G8" s="9">
        <f>Kernels!D6</f>
        <v>1</v>
      </c>
      <c r="H8" s="9">
        <f t="shared" si="0"/>
        <v>101</v>
      </c>
      <c r="I8" s="9">
        <f t="shared" si="0"/>
        <v>117</v>
      </c>
      <c r="J8" s="9">
        <f t="shared" si="0"/>
        <v>140</v>
      </c>
    </row>
    <row r="9" spans="1:11" ht="24" customHeight="1" x14ac:dyDescent="0.2">
      <c r="A9" s="8">
        <f>INDEX(Datos!$B$3:$K$12,$C$4+2,$E$4+0)</f>
        <v>127</v>
      </c>
      <c r="B9" s="8">
        <f>INDEX(Datos!$B$3:$K$12,$C$4+2,$E$4+1)</f>
        <v>134</v>
      </c>
      <c r="C9" s="8">
        <f>INDEX(Datos!$B$3:$K$12,$C$4+2,$E$4+2)</f>
        <v>126</v>
      </c>
      <c r="E9" s="9">
        <f>Kernels!B7</f>
        <v>1</v>
      </c>
      <c r="F9" s="9">
        <f>Kernels!C7</f>
        <v>1</v>
      </c>
      <c r="G9" s="9">
        <f>Kernels!D7</f>
        <v>1</v>
      </c>
      <c r="H9" s="9">
        <f t="shared" si="0"/>
        <v>127</v>
      </c>
      <c r="I9" s="9">
        <f t="shared" si="0"/>
        <v>134</v>
      </c>
      <c r="J9" s="9">
        <f t="shared" si="0"/>
        <v>126</v>
      </c>
    </row>
    <row r="10" spans="1:11" ht="24" customHeight="1" x14ac:dyDescent="0.2"/>
    <row r="11" spans="1:11" ht="24" customHeight="1" x14ac:dyDescent="0.2">
      <c r="E11" s="4" t="s">
        <v>26</v>
      </c>
      <c r="F11" s="6">
        <f>Kernels!F6</f>
        <v>9</v>
      </c>
      <c r="H11" s="4" t="s">
        <v>27</v>
      </c>
      <c r="I11" s="9">
        <f>SUM(H7:J9)</f>
        <v>1048</v>
      </c>
    </row>
    <row r="12" spans="1:11" ht="24" customHeight="1" x14ac:dyDescent="0.2">
      <c r="H12" s="4" t="s">
        <v>28</v>
      </c>
      <c r="I12" s="9">
        <f>I11/$F$11</f>
        <v>116.44444444444444</v>
      </c>
    </row>
    <row r="13" spans="1:11" ht="24" customHeight="1" x14ac:dyDescent="0.2"/>
    <row r="14" spans="1:11" ht="24" customHeight="1" x14ac:dyDescent="0.2">
      <c r="A14" s="16" t="s">
        <v>29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</row>
    <row r="15" spans="1:11" ht="24" customHeight="1" x14ac:dyDescent="0.2">
      <c r="A15" s="10" t="s">
        <v>1</v>
      </c>
      <c r="B15" s="10">
        <v>0</v>
      </c>
      <c r="C15" s="10">
        <v>1</v>
      </c>
      <c r="D15" s="10">
        <v>2</v>
      </c>
      <c r="E15" s="10">
        <v>3</v>
      </c>
      <c r="F15" s="10">
        <v>4</v>
      </c>
      <c r="G15" s="10">
        <v>5</v>
      </c>
      <c r="H15" s="10">
        <v>6</v>
      </c>
      <c r="I15" s="10">
        <v>7</v>
      </c>
      <c r="J15" s="10">
        <v>8</v>
      </c>
      <c r="K15" s="10">
        <v>9</v>
      </c>
    </row>
    <row r="16" spans="1:11" ht="24" customHeight="1" x14ac:dyDescent="0.2">
      <c r="A16" s="10">
        <v>0</v>
      </c>
      <c r="B16" s="9" t="str">
        <f>IF(AND($A16&gt;=1,$A16&lt;=8,B$15&gt;=1,B$15&lt;=8),(INDEX(Kernels!$B$5:$D$7,1,1)*INDEX(Datos!$B$3:$K$12,($A16+1)+-1,(B$15+1)+-1)+INDEX(Kernels!$B$5:$D$7,1,2)*INDEX(Datos!$B$3:$K$12,($A16+1)+-1,(B$15+1)+0)+INDEX(Kernels!$B$5:$D$7,1,3)*INDEX(Datos!$B$3:$K$12,($A16+1)+-1,(B$15+1)+1)+INDEX(Kernels!$B$5:$D$7,2,1)*INDEX(Datos!$B$3:$K$12,($A16+1)+0,(B$15+1)+-1)+INDEX(Kernels!$B$5:$D$7,2,2)*INDEX(Datos!$B$3:$K$12,($A16+1)+0,(B$15+1)+0)+INDEX(Kernels!$B$5:$D$7,2,3)*INDEX(Datos!$B$3:$K$12,($A16+1)+0,(B$15+1)+1)+INDEX(Kernels!$B$5:$D$7,3,1)*INDEX(Datos!$B$3:$K$12,($A16+1)+1,(B$15+1)+-1)+INDEX(Kernels!$B$5:$D$7,3,2)*INDEX(Datos!$B$3:$K$12,($A16+1)+1,(B$15+1)+0)+INDEX(Kernels!$B$5:$D$7,3,3)*INDEX(Datos!$B$3:$K$12,($A16+1)+1,(B$15+1)+1))/Kernels!$F$6,"")</f>
        <v/>
      </c>
      <c r="C16" s="9" t="str">
        <f>IF(AND($A16&gt;=1,$A16&lt;=8,C$15&gt;=1,C$15&lt;=8),(INDEX(Kernels!$B$5:$D$7,1,1)*INDEX(Datos!$B$3:$K$12,($A16+1)+-1,(C$15+1)+-1)+INDEX(Kernels!$B$5:$D$7,1,2)*INDEX(Datos!$B$3:$K$12,($A16+1)+-1,(C$15+1)+0)+INDEX(Kernels!$B$5:$D$7,1,3)*INDEX(Datos!$B$3:$K$12,($A16+1)+-1,(C$15+1)+1)+INDEX(Kernels!$B$5:$D$7,2,1)*INDEX(Datos!$B$3:$K$12,($A16+1)+0,(C$15+1)+-1)+INDEX(Kernels!$B$5:$D$7,2,2)*INDEX(Datos!$B$3:$K$12,($A16+1)+0,(C$15+1)+0)+INDEX(Kernels!$B$5:$D$7,2,3)*INDEX(Datos!$B$3:$K$12,($A16+1)+0,(C$15+1)+1)+INDEX(Kernels!$B$5:$D$7,3,1)*INDEX(Datos!$B$3:$K$12,($A16+1)+1,(C$15+1)+-1)+INDEX(Kernels!$B$5:$D$7,3,2)*INDEX(Datos!$B$3:$K$12,($A16+1)+1,(C$15+1)+0)+INDEX(Kernels!$B$5:$D$7,3,3)*INDEX(Datos!$B$3:$K$12,($A16+1)+1,(C$15+1)+1))/Kernels!$F$6,"")</f>
        <v/>
      </c>
      <c r="D16" s="9" t="str">
        <f>IF(AND($A16&gt;=1,$A16&lt;=8,D$15&gt;=1,D$15&lt;=8),(INDEX(Kernels!$B$5:$D$7,1,1)*INDEX(Datos!$B$3:$K$12,($A16+1)+-1,(D$15+1)+-1)+INDEX(Kernels!$B$5:$D$7,1,2)*INDEX(Datos!$B$3:$K$12,($A16+1)+-1,(D$15+1)+0)+INDEX(Kernels!$B$5:$D$7,1,3)*INDEX(Datos!$B$3:$K$12,($A16+1)+-1,(D$15+1)+1)+INDEX(Kernels!$B$5:$D$7,2,1)*INDEX(Datos!$B$3:$K$12,($A16+1)+0,(D$15+1)+-1)+INDEX(Kernels!$B$5:$D$7,2,2)*INDEX(Datos!$B$3:$K$12,($A16+1)+0,(D$15+1)+0)+INDEX(Kernels!$B$5:$D$7,2,3)*INDEX(Datos!$B$3:$K$12,($A16+1)+0,(D$15+1)+1)+INDEX(Kernels!$B$5:$D$7,3,1)*INDEX(Datos!$B$3:$K$12,($A16+1)+1,(D$15+1)+-1)+INDEX(Kernels!$B$5:$D$7,3,2)*INDEX(Datos!$B$3:$K$12,($A16+1)+1,(D$15+1)+0)+INDEX(Kernels!$B$5:$D$7,3,3)*INDEX(Datos!$B$3:$K$12,($A16+1)+1,(D$15+1)+1))/Kernels!$F$6,"")</f>
        <v/>
      </c>
      <c r="E16" s="9" t="str">
        <f>IF(AND($A16&gt;=1,$A16&lt;=8,E$15&gt;=1,E$15&lt;=8),(INDEX(Kernels!$B$5:$D$7,1,1)*INDEX(Datos!$B$3:$K$12,($A16+1)+-1,(E$15+1)+-1)+INDEX(Kernels!$B$5:$D$7,1,2)*INDEX(Datos!$B$3:$K$12,($A16+1)+-1,(E$15+1)+0)+INDEX(Kernels!$B$5:$D$7,1,3)*INDEX(Datos!$B$3:$K$12,($A16+1)+-1,(E$15+1)+1)+INDEX(Kernels!$B$5:$D$7,2,1)*INDEX(Datos!$B$3:$K$12,($A16+1)+0,(E$15+1)+-1)+INDEX(Kernels!$B$5:$D$7,2,2)*INDEX(Datos!$B$3:$K$12,($A16+1)+0,(E$15+1)+0)+INDEX(Kernels!$B$5:$D$7,2,3)*INDEX(Datos!$B$3:$K$12,($A16+1)+0,(E$15+1)+1)+INDEX(Kernels!$B$5:$D$7,3,1)*INDEX(Datos!$B$3:$K$12,($A16+1)+1,(E$15+1)+-1)+INDEX(Kernels!$B$5:$D$7,3,2)*INDEX(Datos!$B$3:$K$12,($A16+1)+1,(E$15+1)+0)+INDEX(Kernels!$B$5:$D$7,3,3)*INDEX(Datos!$B$3:$K$12,($A16+1)+1,(E$15+1)+1))/Kernels!$F$6,"")</f>
        <v/>
      </c>
      <c r="F16" s="9" t="str">
        <f>IF(AND($A16&gt;=1,$A16&lt;=8,F$15&gt;=1,F$15&lt;=8),(INDEX(Kernels!$B$5:$D$7,1,1)*INDEX(Datos!$B$3:$K$12,($A16+1)+-1,(F$15+1)+-1)+INDEX(Kernels!$B$5:$D$7,1,2)*INDEX(Datos!$B$3:$K$12,($A16+1)+-1,(F$15+1)+0)+INDEX(Kernels!$B$5:$D$7,1,3)*INDEX(Datos!$B$3:$K$12,($A16+1)+-1,(F$15+1)+1)+INDEX(Kernels!$B$5:$D$7,2,1)*INDEX(Datos!$B$3:$K$12,($A16+1)+0,(F$15+1)+-1)+INDEX(Kernels!$B$5:$D$7,2,2)*INDEX(Datos!$B$3:$K$12,($A16+1)+0,(F$15+1)+0)+INDEX(Kernels!$B$5:$D$7,2,3)*INDEX(Datos!$B$3:$K$12,($A16+1)+0,(F$15+1)+1)+INDEX(Kernels!$B$5:$D$7,3,1)*INDEX(Datos!$B$3:$K$12,($A16+1)+1,(F$15+1)+-1)+INDEX(Kernels!$B$5:$D$7,3,2)*INDEX(Datos!$B$3:$K$12,($A16+1)+1,(F$15+1)+0)+INDEX(Kernels!$B$5:$D$7,3,3)*INDEX(Datos!$B$3:$K$12,($A16+1)+1,(F$15+1)+1))/Kernels!$F$6,"")</f>
        <v/>
      </c>
      <c r="G16" s="9" t="str">
        <f>IF(AND($A16&gt;=1,$A16&lt;=8,G$15&gt;=1,G$15&lt;=8),(INDEX(Kernels!$B$5:$D$7,1,1)*INDEX(Datos!$B$3:$K$12,($A16+1)+-1,(G$15+1)+-1)+INDEX(Kernels!$B$5:$D$7,1,2)*INDEX(Datos!$B$3:$K$12,($A16+1)+-1,(G$15+1)+0)+INDEX(Kernels!$B$5:$D$7,1,3)*INDEX(Datos!$B$3:$K$12,($A16+1)+-1,(G$15+1)+1)+INDEX(Kernels!$B$5:$D$7,2,1)*INDEX(Datos!$B$3:$K$12,($A16+1)+0,(G$15+1)+-1)+INDEX(Kernels!$B$5:$D$7,2,2)*INDEX(Datos!$B$3:$K$12,($A16+1)+0,(G$15+1)+0)+INDEX(Kernels!$B$5:$D$7,2,3)*INDEX(Datos!$B$3:$K$12,($A16+1)+0,(G$15+1)+1)+INDEX(Kernels!$B$5:$D$7,3,1)*INDEX(Datos!$B$3:$K$12,($A16+1)+1,(G$15+1)+-1)+INDEX(Kernels!$B$5:$D$7,3,2)*INDEX(Datos!$B$3:$K$12,($A16+1)+1,(G$15+1)+0)+INDEX(Kernels!$B$5:$D$7,3,3)*INDEX(Datos!$B$3:$K$12,($A16+1)+1,(G$15+1)+1))/Kernels!$F$6,"")</f>
        <v/>
      </c>
      <c r="H16" s="9" t="str">
        <f>IF(AND($A16&gt;=1,$A16&lt;=8,H$15&gt;=1,H$15&lt;=8),(INDEX(Kernels!$B$5:$D$7,1,1)*INDEX(Datos!$B$3:$K$12,($A16+1)+-1,(H$15+1)+-1)+INDEX(Kernels!$B$5:$D$7,1,2)*INDEX(Datos!$B$3:$K$12,($A16+1)+-1,(H$15+1)+0)+INDEX(Kernels!$B$5:$D$7,1,3)*INDEX(Datos!$B$3:$K$12,($A16+1)+-1,(H$15+1)+1)+INDEX(Kernels!$B$5:$D$7,2,1)*INDEX(Datos!$B$3:$K$12,($A16+1)+0,(H$15+1)+-1)+INDEX(Kernels!$B$5:$D$7,2,2)*INDEX(Datos!$B$3:$K$12,($A16+1)+0,(H$15+1)+0)+INDEX(Kernels!$B$5:$D$7,2,3)*INDEX(Datos!$B$3:$K$12,($A16+1)+0,(H$15+1)+1)+INDEX(Kernels!$B$5:$D$7,3,1)*INDEX(Datos!$B$3:$K$12,($A16+1)+1,(H$15+1)+-1)+INDEX(Kernels!$B$5:$D$7,3,2)*INDEX(Datos!$B$3:$K$12,($A16+1)+1,(H$15+1)+0)+INDEX(Kernels!$B$5:$D$7,3,3)*INDEX(Datos!$B$3:$K$12,($A16+1)+1,(H$15+1)+1))/Kernels!$F$6,"")</f>
        <v/>
      </c>
      <c r="I16" s="9" t="str">
        <f>IF(AND($A16&gt;=1,$A16&lt;=8,I$15&gt;=1,I$15&lt;=8),(INDEX(Kernels!$B$5:$D$7,1,1)*INDEX(Datos!$B$3:$K$12,($A16+1)+-1,(I$15+1)+-1)+INDEX(Kernels!$B$5:$D$7,1,2)*INDEX(Datos!$B$3:$K$12,($A16+1)+-1,(I$15+1)+0)+INDEX(Kernels!$B$5:$D$7,1,3)*INDEX(Datos!$B$3:$K$12,($A16+1)+-1,(I$15+1)+1)+INDEX(Kernels!$B$5:$D$7,2,1)*INDEX(Datos!$B$3:$K$12,($A16+1)+0,(I$15+1)+-1)+INDEX(Kernels!$B$5:$D$7,2,2)*INDEX(Datos!$B$3:$K$12,($A16+1)+0,(I$15+1)+0)+INDEX(Kernels!$B$5:$D$7,2,3)*INDEX(Datos!$B$3:$K$12,($A16+1)+0,(I$15+1)+1)+INDEX(Kernels!$B$5:$D$7,3,1)*INDEX(Datos!$B$3:$K$12,($A16+1)+1,(I$15+1)+-1)+INDEX(Kernels!$B$5:$D$7,3,2)*INDEX(Datos!$B$3:$K$12,($A16+1)+1,(I$15+1)+0)+INDEX(Kernels!$B$5:$D$7,3,3)*INDEX(Datos!$B$3:$K$12,($A16+1)+1,(I$15+1)+1))/Kernels!$F$6,"")</f>
        <v/>
      </c>
      <c r="J16" s="9" t="str">
        <f>IF(AND($A16&gt;=1,$A16&lt;=8,J$15&gt;=1,J$15&lt;=8),(INDEX(Kernels!$B$5:$D$7,1,1)*INDEX(Datos!$B$3:$K$12,($A16+1)+-1,(J$15+1)+-1)+INDEX(Kernels!$B$5:$D$7,1,2)*INDEX(Datos!$B$3:$K$12,($A16+1)+-1,(J$15+1)+0)+INDEX(Kernels!$B$5:$D$7,1,3)*INDEX(Datos!$B$3:$K$12,($A16+1)+-1,(J$15+1)+1)+INDEX(Kernels!$B$5:$D$7,2,1)*INDEX(Datos!$B$3:$K$12,($A16+1)+0,(J$15+1)+-1)+INDEX(Kernels!$B$5:$D$7,2,2)*INDEX(Datos!$B$3:$K$12,($A16+1)+0,(J$15+1)+0)+INDEX(Kernels!$B$5:$D$7,2,3)*INDEX(Datos!$B$3:$K$12,($A16+1)+0,(J$15+1)+1)+INDEX(Kernels!$B$5:$D$7,3,1)*INDEX(Datos!$B$3:$K$12,($A16+1)+1,(J$15+1)+-1)+INDEX(Kernels!$B$5:$D$7,3,2)*INDEX(Datos!$B$3:$K$12,($A16+1)+1,(J$15+1)+0)+INDEX(Kernels!$B$5:$D$7,3,3)*INDEX(Datos!$B$3:$K$12,($A16+1)+1,(J$15+1)+1))/Kernels!$F$6,"")</f>
        <v/>
      </c>
      <c r="K16" s="9" t="str">
        <f>IF(AND($A16&gt;=1,$A16&lt;=8,K$15&gt;=1,K$15&lt;=8),(INDEX(Kernels!$B$5:$D$7,1,1)*INDEX(Datos!$B$3:$K$12,($A16+1)+-1,(K$15+1)+-1)+INDEX(Kernels!$B$5:$D$7,1,2)*INDEX(Datos!$B$3:$K$12,($A16+1)+-1,(K$15+1)+0)+INDEX(Kernels!$B$5:$D$7,1,3)*INDEX(Datos!$B$3:$K$12,($A16+1)+-1,(K$15+1)+1)+INDEX(Kernels!$B$5:$D$7,2,1)*INDEX(Datos!$B$3:$K$12,($A16+1)+0,(K$15+1)+-1)+INDEX(Kernels!$B$5:$D$7,2,2)*INDEX(Datos!$B$3:$K$12,($A16+1)+0,(K$15+1)+0)+INDEX(Kernels!$B$5:$D$7,2,3)*INDEX(Datos!$B$3:$K$12,($A16+1)+0,(K$15+1)+1)+INDEX(Kernels!$B$5:$D$7,3,1)*INDEX(Datos!$B$3:$K$12,($A16+1)+1,(K$15+1)+-1)+INDEX(Kernels!$B$5:$D$7,3,2)*INDEX(Datos!$B$3:$K$12,($A16+1)+1,(K$15+1)+0)+INDEX(Kernels!$B$5:$D$7,3,3)*INDEX(Datos!$B$3:$K$12,($A16+1)+1,(K$15+1)+1))/Kernels!$F$6,"")</f>
        <v/>
      </c>
    </row>
    <row r="17" spans="1:11" ht="24" customHeight="1" x14ac:dyDescent="0.2">
      <c r="A17" s="10">
        <v>1</v>
      </c>
      <c r="B17" s="9" t="str">
        <f>IF(AND($A17&gt;=1,$A17&lt;=8,B$15&gt;=1,B$15&lt;=8),(INDEX(Kernels!$B$5:$D$7,1,1)*INDEX(Datos!$B$3:$K$12,($A17+1)+-1,(B$15+1)+-1)+INDEX(Kernels!$B$5:$D$7,1,2)*INDEX(Datos!$B$3:$K$12,($A17+1)+-1,(B$15+1)+0)+INDEX(Kernels!$B$5:$D$7,1,3)*INDEX(Datos!$B$3:$K$12,($A17+1)+-1,(B$15+1)+1)+INDEX(Kernels!$B$5:$D$7,2,1)*INDEX(Datos!$B$3:$K$12,($A17+1)+0,(B$15+1)+-1)+INDEX(Kernels!$B$5:$D$7,2,2)*INDEX(Datos!$B$3:$K$12,($A17+1)+0,(B$15+1)+0)+INDEX(Kernels!$B$5:$D$7,2,3)*INDEX(Datos!$B$3:$K$12,($A17+1)+0,(B$15+1)+1)+INDEX(Kernels!$B$5:$D$7,3,1)*INDEX(Datos!$B$3:$K$12,($A17+1)+1,(B$15+1)+-1)+INDEX(Kernels!$B$5:$D$7,3,2)*INDEX(Datos!$B$3:$K$12,($A17+1)+1,(B$15+1)+0)+INDEX(Kernels!$B$5:$D$7,3,3)*INDEX(Datos!$B$3:$K$12,($A17+1)+1,(B$15+1)+1))/Kernels!$F$6,"")</f>
        <v/>
      </c>
      <c r="C17" s="9">
        <f>IF(AND($A17&gt;=1,$A17&lt;=8,C$15&gt;=1,C$15&lt;=8),(INDEX(Kernels!$B$5:$D$7,1,1)*INDEX(Datos!$B$3:$K$12,($A17+1)+-1,(C$15+1)+-1)+INDEX(Kernels!$B$5:$D$7,1,2)*INDEX(Datos!$B$3:$K$12,($A17+1)+-1,(C$15+1)+0)+INDEX(Kernels!$B$5:$D$7,1,3)*INDEX(Datos!$B$3:$K$12,($A17+1)+-1,(C$15+1)+1)+INDEX(Kernels!$B$5:$D$7,2,1)*INDEX(Datos!$B$3:$K$12,($A17+1)+0,(C$15+1)+-1)+INDEX(Kernels!$B$5:$D$7,2,2)*INDEX(Datos!$B$3:$K$12,($A17+1)+0,(C$15+1)+0)+INDEX(Kernels!$B$5:$D$7,2,3)*INDEX(Datos!$B$3:$K$12,($A17+1)+0,(C$15+1)+1)+INDEX(Kernels!$B$5:$D$7,3,1)*INDEX(Datos!$B$3:$K$12,($A17+1)+1,(C$15+1)+-1)+INDEX(Kernels!$B$5:$D$7,3,2)*INDEX(Datos!$B$3:$K$12,($A17+1)+1,(C$15+1)+0)+INDEX(Kernels!$B$5:$D$7,3,3)*INDEX(Datos!$B$3:$K$12,($A17+1)+1,(C$15+1)+1))/Kernels!$F$6,"")</f>
        <v>112.33333333333333</v>
      </c>
      <c r="D17" s="9">
        <f>IF(AND($A17&gt;=1,$A17&lt;=8,D$15&gt;=1,D$15&lt;=8),(INDEX(Kernels!$B$5:$D$7,1,1)*INDEX(Datos!$B$3:$K$12,($A17+1)+-1,(D$15+1)+-1)+INDEX(Kernels!$B$5:$D$7,1,2)*INDEX(Datos!$B$3:$K$12,($A17+1)+-1,(D$15+1)+0)+INDEX(Kernels!$B$5:$D$7,1,3)*INDEX(Datos!$B$3:$K$12,($A17+1)+-1,(D$15+1)+1)+INDEX(Kernels!$B$5:$D$7,2,1)*INDEX(Datos!$B$3:$K$12,($A17+1)+0,(D$15+1)+-1)+INDEX(Kernels!$B$5:$D$7,2,2)*INDEX(Datos!$B$3:$K$12,($A17+1)+0,(D$15+1)+0)+INDEX(Kernels!$B$5:$D$7,2,3)*INDEX(Datos!$B$3:$K$12,($A17+1)+0,(D$15+1)+1)+INDEX(Kernels!$B$5:$D$7,3,1)*INDEX(Datos!$B$3:$K$12,($A17+1)+1,(D$15+1)+-1)+INDEX(Kernels!$B$5:$D$7,3,2)*INDEX(Datos!$B$3:$K$12,($A17+1)+1,(D$15+1)+0)+INDEX(Kernels!$B$5:$D$7,3,3)*INDEX(Datos!$B$3:$K$12,($A17+1)+1,(D$15+1)+1))/Kernels!$F$6,"")</f>
        <v>109</v>
      </c>
      <c r="E17" s="9">
        <f>IF(AND($A17&gt;=1,$A17&lt;=8,E$15&gt;=1,E$15&lt;=8),(INDEX(Kernels!$B$5:$D$7,1,1)*INDEX(Datos!$B$3:$K$12,($A17+1)+-1,(E$15+1)+-1)+INDEX(Kernels!$B$5:$D$7,1,2)*INDEX(Datos!$B$3:$K$12,($A17+1)+-1,(E$15+1)+0)+INDEX(Kernels!$B$5:$D$7,1,3)*INDEX(Datos!$B$3:$K$12,($A17+1)+-1,(E$15+1)+1)+INDEX(Kernels!$B$5:$D$7,2,1)*INDEX(Datos!$B$3:$K$12,($A17+1)+0,(E$15+1)+-1)+INDEX(Kernels!$B$5:$D$7,2,2)*INDEX(Datos!$B$3:$K$12,($A17+1)+0,(E$15+1)+0)+INDEX(Kernels!$B$5:$D$7,2,3)*INDEX(Datos!$B$3:$K$12,($A17+1)+0,(E$15+1)+1)+INDEX(Kernels!$B$5:$D$7,3,1)*INDEX(Datos!$B$3:$K$12,($A17+1)+1,(E$15+1)+-1)+INDEX(Kernels!$B$5:$D$7,3,2)*INDEX(Datos!$B$3:$K$12,($A17+1)+1,(E$15+1)+0)+INDEX(Kernels!$B$5:$D$7,3,3)*INDEX(Datos!$B$3:$K$12,($A17+1)+1,(E$15+1)+1))/Kernels!$F$6,"")</f>
        <v>103.88888888888889</v>
      </c>
      <c r="F17" s="9">
        <f>IF(AND($A17&gt;=1,$A17&lt;=8,F$15&gt;=1,F$15&lt;=8),(INDEX(Kernels!$B$5:$D$7,1,1)*INDEX(Datos!$B$3:$K$12,($A17+1)+-1,(F$15+1)+-1)+INDEX(Kernels!$B$5:$D$7,1,2)*INDEX(Datos!$B$3:$K$12,($A17+1)+-1,(F$15+1)+0)+INDEX(Kernels!$B$5:$D$7,1,3)*INDEX(Datos!$B$3:$K$12,($A17+1)+-1,(F$15+1)+1)+INDEX(Kernels!$B$5:$D$7,2,1)*INDEX(Datos!$B$3:$K$12,($A17+1)+0,(F$15+1)+-1)+INDEX(Kernels!$B$5:$D$7,2,2)*INDEX(Datos!$B$3:$K$12,($A17+1)+0,(F$15+1)+0)+INDEX(Kernels!$B$5:$D$7,2,3)*INDEX(Datos!$B$3:$K$12,($A17+1)+0,(F$15+1)+1)+INDEX(Kernels!$B$5:$D$7,3,1)*INDEX(Datos!$B$3:$K$12,($A17+1)+1,(F$15+1)+-1)+INDEX(Kernels!$B$5:$D$7,3,2)*INDEX(Datos!$B$3:$K$12,($A17+1)+1,(F$15+1)+0)+INDEX(Kernels!$B$5:$D$7,3,3)*INDEX(Datos!$B$3:$K$12,($A17+1)+1,(F$15+1)+1))/Kernels!$F$6,"")</f>
        <v>93.444444444444443</v>
      </c>
      <c r="G17" s="9">
        <f>IF(AND($A17&gt;=1,$A17&lt;=8,G$15&gt;=1,G$15&lt;=8),(INDEX(Kernels!$B$5:$D$7,1,1)*INDEX(Datos!$B$3:$K$12,($A17+1)+-1,(G$15+1)+-1)+INDEX(Kernels!$B$5:$D$7,1,2)*INDEX(Datos!$B$3:$K$12,($A17+1)+-1,(G$15+1)+0)+INDEX(Kernels!$B$5:$D$7,1,3)*INDEX(Datos!$B$3:$K$12,($A17+1)+-1,(G$15+1)+1)+INDEX(Kernels!$B$5:$D$7,2,1)*INDEX(Datos!$B$3:$K$12,($A17+1)+0,(G$15+1)+-1)+INDEX(Kernels!$B$5:$D$7,2,2)*INDEX(Datos!$B$3:$K$12,($A17+1)+0,(G$15+1)+0)+INDEX(Kernels!$B$5:$D$7,2,3)*INDEX(Datos!$B$3:$K$12,($A17+1)+0,(G$15+1)+1)+INDEX(Kernels!$B$5:$D$7,3,1)*INDEX(Datos!$B$3:$K$12,($A17+1)+1,(G$15+1)+-1)+INDEX(Kernels!$B$5:$D$7,3,2)*INDEX(Datos!$B$3:$K$12,($A17+1)+1,(G$15+1)+0)+INDEX(Kernels!$B$5:$D$7,3,3)*INDEX(Datos!$B$3:$K$12,($A17+1)+1,(G$15+1)+1))/Kernels!$F$6,"")</f>
        <v>82.666666666666671</v>
      </c>
      <c r="H17" s="9">
        <f>IF(AND($A17&gt;=1,$A17&lt;=8,H$15&gt;=1,H$15&lt;=8),(INDEX(Kernels!$B$5:$D$7,1,1)*INDEX(Datos!$B$3:$K$12,($A17+1)+-1,(H$15+1)+-1)+INDEX(Kernels!$B$5:$D$7,1,2)*INDEX(Datos!$B$3:$K$12,($A17+1)+-1,(H$15+1)+0)+INDEX(Kernels!$B$5:$D$7,1,3)*INDEX(Datos!$B$3:$K$12,($A17+1)+-1,(H$15+1)+1)+INDEX(Kernels!$B$5:$D$7,2,1)*INDEX(Datos!$B$3:$K$12,($A17+1)+0,(H$15+1)+-1)+INDEX(Kernels!$B$5:$D$7,2,2)*INDEX(Datos!$B$3:$K$12,($A17+1)+0,(H$15+1)+0)+INDEX(Kernels!$B$5:$D$7,2,3)*INDEX(Datos!$B$3:$K$12,($A17+1)+0,(H$15+1)+1)+INDEX(Kernels!$B$5:$D$7,3,1)*INDEX(Datos!$B$3:$K$12,($A17+1)+1,(H$15+1)+-1)+INDEX(Kernels!$B$5:$D$7,3,2)*INDEX(Datos!$B$3:$K$12,($A17+1)+1,(H$15+1)+0)+INDEX(Kernels!$B$5:$D$7,3,3)*INDEX(Datos!$B$3:$K$12,($A17+1)+1,(H$15+1)+1))/Kernels!$F$6,"")</f>
        <v>80.444444444444443</v>
      </c>
      <c r="I17" s="9">
        <f>IF(AND($A17&gt;=1,$A17&lt;=8,I$15&gt;=1,I$15&lt;=8),(INDEX(Kernels!$B$5:$D$7,1,1)*INDEX(Datos!$B$3:$K$12,($A17+1)+-1,(I$15+1)+-1)+INDEX(Kernels!$B$5:$D$7,1,2)*INDEX(Datos!$B$3:$K$12,($A17+1)+-1,(I$15+1)+0)+INDEX(Kernels!$B$5:$D$7,1,3)*INDEX(Datos!$B$3:$K$12,($A17+1)+-1,(I$15+1)+1)+INDEX(Kernels!$B$5:$D$7,2,1)*INDEX(Datos!$B$3:$K$12,($A17+1)+0,(I$15+1)+-1)+INDEX(Kernels!$B$5:$D$7,2,2)*INDEX(Datos!$B$3:$K$12,($A17+1)+0,(I$15+1)+0)+INDEX(Kernels!$B$5:$D$7,2,3)*INDEX(Datos!$B$3:$K$12,($A17+1)+0,(I$15+1)+1)+INDEX(Kernels!$B$5:$D$7,3,1)*INDEX(Datos!$B$3:$K$12,($A17+1)+1,(I$15+1)+-1)+INDEX(Kernels!$B$5:$D$7,3,2)*INDEX(Datos!$B$3:$K$12,($A17+1)+1,(I$15+1)+0)+INDEX(Kernels!$B$5:$D$7,3,3)*INDEX(Datos!$B$3:$K$12,($A17+1)+1,(I$15+1)+1))/Kernels!$F$6,"")</f>
        <v>75.777777777777771</v>
      </c>
      <c r="J17" s="9">
        <f>IF(AND($A17&gt;=1,$A17&lt;=8,J$15&gt;=1,J$15&lt;=8),(INDEX(Kernels!$B$5:$D$7,1,1)*INDEX(Datos!$B$3:$K$12,($A17+1)+-1,(J$15+1)+-1)+INDEX(Kernels!$B$5:$D$7,1,2)*INDEX(Datos!$B$3:$K$12,($A17+1)+-1,(J$15+1)+0)+INDEX(Kernels!$B$5:$D$7,1,3)*INDEX(Datos!$B$3:$K$12,($A17+1)+-1,(J$15+1)+1)+INDEX(Kernels!$B$5:$D$7,2,1)*INDEX(Datos!$B$3:$K$12,($A17+1)+0,(J$15+1)+-1)+INDEX(Kernels!$B$5:$D$7,2,2)*INDEX(Datos!$B$3:$K$12,($A17+1)+0,(J$15+1)+0)+INDEX(Kernels!$B$5:$D$7,2,3)*INDEX(Datos!$B$3:$K$12,($A17+1)+0,(J$15+1)+1)+INDEX(Kernels!$B$5:$D$7,3,1)*INDEX(Datos!$B$3:$K$12,($A17+1)+1,(J$15+1)+-1)+INDEX(Kernels!$B$5:$D$7,3,2)*INDEX(Datos!$B$3:$K$12,($A17+1)+1,(J$15+1)+0)+INDEX(Kernels!$B$5:$D$7,3,3)*INDEX(Datos!$B$3:$K$12,($A17+1)+1,(J$15+1)+1))/Kernels!$F$6,"")</f>
        <v>73.222222222222229</v>
      </c>
      <c r="K17" s="9" t="str">
        <f>IF(AND($A17&gt;=1,$A17&lt;=8,K$15&gt;=1,K$15&lt;=8),(INDEX(Kernels!$B$5:$D$7,1,1)*INDEX(Datos!$B$3:$K$12,($A17+1)+-1,(K$15+1)+-1)+INDEX(Kernels!$B$5:$D$7,1,2)*INDEX(Datos!$B$3:$K$12,($A17+1)+-1,(K$15+1)+0)+INDEX(Kernels!$B$5:$D$7,1,3)*INDEX(Datos!$B$3:$K$12,($A17+1)+-1,(K$15+1)+1)+INDEX(Kernels!$B$5:$D$7,2,1)*INDEX(Datos!$B$3:$K$12,($A17+1)+0,(K$15+1)+-1)+INDEX(Kernels!$B$5:$D$7,2,2)*INDEX(Datos!$B$3:$K$12,($A17+1)+0,(K$15+1)+0)+INDEX(Kernels!$B$5:$D$7,2,3)*INDEX(Datos!$B$3:$K$12,($A17+1)+0,(K$15+1)+1)+INDEX(Kernels!$B$5:$D$7,3,1)*INDEX(Datos!$B$3:$K$12,($A17+1)+1,(K$15+1)+-1)+INDEX(Kernels!$B$5:$D$7,3,2)*INDEX(Datos!$B$3:$K$12,($A17+1)+1,(K$15+1)+0)+INDEX(Kernels!$B$5:$D$7,3,3)*INDEX(Datos!$B$3:$K$12,($A17+1)+1,(K$15+1)+1))/Kernels!$F$6,"")</f>
        <v/>
      </c>
    </row>
    <row r="18" spans="1:11" ht="24" customHeight="1" x14ac:dyDescent="0.2">
      <c r="A18" s="10">
        <v>2</v>
      </c>
      <c r="B18" s="9" t="str">
        <f>IF(AND($A18&gt;=1,$A18&lt;=8,B$15&gt;=1,B$15&lt;=8),(INDEX(Kernels!$B$5:$D$7,1,1)*INDEX(Datos!$B$3:$K$12,($A18+1)+-1,(B$15+1)+-1)+INDEX(Kernels!$B$5:$D$7,1,2)*INDEX(Datos!$B$3:$K$12,($A18+1)+-1,(B$15+1)+0)+INDEX(Kernels!$B$5:$D$7,1,3)*INDEX(Datos!$B$3:$K$12,($A18+1)+-1,(B$15+1)+1)+INDEX(Kernels!$B$5:$D$7,2,1)*INDEX(Datos!$B$3:$K$12,($A18+1)+0,(B$15+1)+-1)+INDEX(Kernels!$B$5:$D$7,2,2)*INDEX(Datos!$B$3:$K$12,($A18+1)+0,(B$15+1)+0)+INDEX(Kernels!$B$5:$D$7,2,3)*INDEX(Datos!$B$3:$K$12,($A18+1)+0,(B$15+1)+1)+INDEX(Kernels!$B$5:$D$7,3,1)*INDEX(Datos!$B$3:$K$12,($A18+1)+1,(B$15+1)+-1)+INDEX(Kernels!$B$5:$D$7,3,2)*INDEX(Datos!$B$3:$K$12,($A18+1)+1,(B$15+1)+0)+INDEX(Kernels!$B$5:$D$7,3,3)*INDEX(Datos!$B$3:$K$12,($A18+1)+1,(B$15+1)+1))/Kernels!$F$6,"")</f>
        <v/>
      </c>
      <c r="C18" s="9">
        <f>IF(AND($A18&gt;=1,$A18&lt;=8,C$15&gt;=1,C$15&lt;=8),(INDEX(Kernels!$B$5:$D$7,1,1)*INDEX(Datos!$B$3:$K$12,($A18+1)+-1,(C$15+1)+-1)+INDEX(Kernels!$B$5:$D$7,1,2)*INDEX(Datos!$B$3:$K$12,($A18+1)+-1,(C$15+1)+0)+INDEX(Kernels!$B$5:$D$7,1,3)*INDEX(Datos!$B$3:$K$12,($A18+1)+-1,(C$15+1)+1)+INDEX(Kernels!$B$5:$D$7,2,1)*INDEX(Datos!$B$3:$K$12,($A18+1)+0,(C$15+1)+-1)+INDEX(Kernels!$B$5:$D$7,2,2)*INDEX(Datos!$B$3:$K$12,($A18+1)+0,(C$15+1)+0)+INDEX(Kernels!$B$5:$D$7,2,3)*INDEX(Datos!$B$3:$K$12,($A18+1)+0,(C$15+1)+1)+INDEX(Kernels!$B$5:$D$7,3,1)*INDEX(Datos!$B$3:$K$12,($A18+1)+1,(C$15+1)+-1)+INDEX(Kernels!$B$5:$D$7,3,2)*INDEX(Datos!$B$3:$K$12,($A18+1)+1,(C$15+1)+0)+INDEX(Kernels!$B$5:$D$7,3,3)*INDEX(Datos!$B$3:$K$12,($A18+1)+1,(C$15+1)+1))/Kernels!$F$6,"")</f>
        <v>118.55555555555556</v>
      </c>
      <c r="D18" s="9">
        <f>IF(AND($A18&gt;=1,$A18&lt;=8,D$15&gt;=1,D$15&lt;=8),(INDEX(Kernels!$B$5:$D$7,1,1)*INDEX(Datos!$B$3:$K$12,($A18+1)+-1,(D$15+1)+-1)+INDEX(Kernels!$B$5:$D$7,1,2)*INDEX(Datos!$B$3:$K$12,($A18+1)+-1,(D$15+1)+0)+INDEX(Kernels!$B$5:$D$7,1,3)*INDEX(Datos!$B$3:$K$12,($A18+1)+-1,(D$15+1)+1)+INDEX(Kernels!$B$5:$D$7,2,1)*INDEX(Datos!$B$3:$K$12,($A18+1)+0,(D$15+1)+-1)+INDEX(Kernels!$B$5:$D$7,2,2)*INDEX(Datos!$B$3:$K$12,($A18+1)+0,(D$15+1)+0)+INDEX(Kernels!$B$5:$D$7,2,3)*INDEX(Datos!$B$3:$K$12,($A18+1)+0,(D$15+1)+1)+INDEX(Kernels!$B$5:$D$7,3,1)*INDEX(Datos!$B$3:$K$12,($A18+1)+1,(D$15+1)+-1)+INDEX(Kernels!$B$5:$D$7,3,2)*INDEX(Datos!$B$3:$K$12,($A18+1)+1,(D$15+1)+0)+INDEX(Kernels!$B$5:$D$7,3,3)*INDEX(Datos!$B$3:$K$12,($A18+1)+1,(D$15+1)+1))/Kernels!$F$6,"")</f>
        <v>116.88888888888889</v>
      </c>
      <c r="E18" s="9">
        <f>IF(AND($A18&gt;=1,$A18&lt;=8,E$15&gt;=1,E$15&lt;=8),(INDEX(Kernels!$B$5:$D$7,1,1)*INDEX(Datos!$B$3:$K$12,($A18+1)+-1,(E$15+1)+-1)+INDEX(Kernels!$B$5:$D$7,1,2)*INDEX(Datos!$B$3:$K$12,($A18+1)+-1,(E$15+1)+0)+INDEX(Kernels!$B$5:$D$7,1,3)*INDEX(Datos!$B$3:$K$12,($A18+1)+-1,(E$15+1)+1)+INDEX(Kernels!$B$5:$D$7,2,1)*INDEX(Datos!$B$3:$K$12,($A18+1)+0,(E$15+1)+-1)+INDEX(Kernels!$B$5:$D$7,2,2)*INDEX(Datos!$B$3:$K$12,($A18+1)+0,(E$15+1)+0)+INDEX(Kernels!$B$5:$D$7,2,3)*INDEX(Datos!$B$3:$K$12,($A18+1)+0,(E$15+1)+1)+INDEX(Kernels!$B$5:$D$7,3,1)*INDEX(Datos!$B$3:$K$12,($A18+1)+1,(E$15+1)+-1)+INDEX(Kernels!$B$5:$D$7,3,2)*INDEX(Datos!$B$3:$K$12,($A18+1)+1,(E$15+1)+0)+INDEX(Kernels!$B$5:$D$7,3,3)*INDEX(Datos!$B$3:$K$12,($A18+1)+1,(E$15+1)+1))/Kernels!$F$6,"")</f>
        <v>105.11111111111111</v>
      </c>
      <c r="F18" s="9">
        <f>IF(AND($A18&gt;=1,$A18&lt;=8,F$15&gt;=1,F$15&lt;=8),(INDEX(Kernels!$B$5:$D$7,1,1)*INDEX(Datos!$B$3:$K$12,($A18+1)+-1,(F$15+1)+-1)+INDEX(Kernels!$B$5:$D$7,1,2)*INDEX(Datos!$B$3:$K$12,($A18+1)+-1,(F$15+1)+0)+INDEX(Kernels!$B$5:$D$7,1,3)*INDEX(Datos!$B$3:$K$12,($A18+1)+-1,(F$15+1)+1)+INDEX(Kernels!$B$5:$D$7,2,1)*INDEX(Datos!$B$3:$K$12,($A18+1)+0,(F$15+1)+-1)+INDEX(Kernels!$B$5:$D$7,2,2)*INDEX(Datos!$B$3:$K$12,($A18+1)+0,(F$15+1)+0)+INDEX(Kernels!$B$5:$D$7,2,3)*INDEX(Datos!$B$3:$K$12,($A18+1)+0,(F$15+1)+1)+INDEX(Kernels!$B$5:$D$7,3,1)*INDEX(Datos!$B$3:$K$12,($A18+1)+1,(F$15+1)+-1)+INDEX(Kernels!$B$5:$D$7,3,2)*INDEX(Datos!$B$3:$K$12,($A18+1)+1,(F$15+1)+0)+INDEX(Kernels!$B$5:$D$7,3,3)*INDEX(Datos!$B$3:$K$12,($A18+1)+1,(F$15+1)+1))/Kernels!$F$6,"")</f>
        <v>92.444444444444443</v>
      </c>
      <c r="G18" s="9">
        <f>IF(AND($A18&gt;=1,$A18&lt;=8,G$15&gt;=1,G$15&lt;=8),(INDEX(Kernels!$B$5:$D$7,1,1)*INDEX(Datos!$B$3:$K$12,($A18+1)+-1,(G$15+1)+-1)+INDEX(Kernels!$B$5:$D$7,1,2)*INDEX(Datos!$B$3:$K$12,($A18+1)+-1,(G$15+1)+0)+INDEX(Kernels!$B$5:$D$7,1,3)*INDEX(Datos!$B$3:$K$12,($A18+1)+-1,(G$15+1)+1)+INDEX(Kernels!$B$5:$D$7,2,1)*INDEX(Datos!$B$3:$K$12,($A18+1)+0,(G$15+1)+-1)+INDEX(Kernels!$B$5:$D$7,2,2)*INDEX(Datos!$B$3:$K$12,($A18+1)+0,(G$15+1)+0)+INDEX(Kernels!$B$5:$D$7,2,3)*INDEX(Datos!$B$3:$K$12,($A18+1)+0,(G$15+1)+1)+INDEX(Kernels!$B$5:$D$7,3,1)*INDEX(Datos!$B$3:$K$12,($A18+1)+1,(G$15+1)+-1)+INDEX(Kernels!$B$5:$D$7,3,2)*INDEX(Datos!$B$3:$K$12,($A18+1)+1,(G$15+1)+0)+INDEX(Kernels!$B$5:$D$7,3,3)*INDEX(Datos!$B$3:$K$12,($A18+1)+1,(G$15+1)+1))/Kernels!$F$6,"")</f>
        <v>90.777777777777771</v>
      </c>
      <c r="H18" s="9">
        <f>IF(AND($A18&gt;=1,$A18&lt;=8,H$15&gt;=1,H$15&lt;=8),(INDEX(Kernels!$B$5:$D$7,1,1)*INDEX(Datos!$B$3:$K$12,($A18+1)+-1,(H$15+1)+-1)+INDEX(Kernels!$B$5:$D$7,1,2)*INDEX(Datos!$B$3:$K$12,($A18+1)+-1,(H$15+1)+0)+INDEX(Kernels!$B$5:$D$7,1,3)*INDEX(Datos!$B$3:$K$12,($A18+1)+-1,(H$15+1)+1)+INDEX(Kernels!$B$5:$D$7,2,1)*INDEX(Datos!$B$3:$K$12,($A18+1)+0,(H$15+1)+-1)+INDEX(Kernels!$B$5:$D$7,2,2)*INDEX(Datos!$B$3:$K$12,($A18+1)+0,(H$15+1)+0)+INDEX(Kernels!$B$5:$D$7,2,3)*INDEX(Datos!$B$3:$K$12,($A18+1)+0,(H$15+1)+1)+INDEX(Kernels!$B$5:$D$7,3,1)*INDEX(Datos!$B$3:$K$12,($A18+1)+1,(H$15+1)+-1)+INDEX(Kernels!$B$5:$D$7,3,2)*INDEX(Datos!$B$3:$K$12,($A18+1)+1,(H$15+1)+0)+INDEX(Kernels!$B$5:$D$7,3,3)*INDEX(Datos!$B$3:$K$12,($A18+1)+1,(H$15+1)+1))/Kernels!$F$6,"")</f>
        <v>101.33333333333333</v>
      </c>
      <c r="I18" s="9">
        <f>IF(AND($A18&gt;=1,$A18&lt;=8,I$15&gt;=1,I$15&lt;=8),(INDEX(Kernels!$B$5:$D$7,1,1)*INDEX(Datos!$B$3:$K$12,($A18+1)+-1,(I$15+1)+-1)+INDEX(Kernels!$B$5:$D$7,1,2)*INDEX(Datos!$B$3:$K$12,($A18+1)+-1,(I$15+1)+0)+INDEX(Kernels!$B$5:$D$7,1,3)*INDEX(Datos!$B$3:$K$12,($A18+1)+-1,(I$15+1)+1)+INDEX(Kernels!$B$5:$D$7,2,1)*INDEX(Datos!$B$3:$K$12,($A18+1)+0,(I$15+1)+-1)+INDEX(Kernels!$B$5:$D$7,2,2)*INDEX(Datos!$B$3:$K$12,($A18+1)+0,(I$15+1)+0)+INDEX(Kernels!$B$5:$D$7,2,3)*INDEX(Datos!$B$3:$K$12,($A18+1)+0,(I$15+1)+1)+INDEX(Kernels!$B$5:$D$7,3,1)*INDEX(Datos!$B$3:$K$12,($A18+1)+1,(I$15+1)+-1)+INDEX(Kernels!$B$5:$D$7,3,2)*INDEX(Datos!$B$3:$K$12,($A18+1)+1,(I$15+1)+0)+INDEX(Kernels!$B$5:$D$7,3,3)*INDEX(Datos!$B$3:$K$12,($A18+1)+1,(I$15+1)+1))/Kernels!$F$6,"")</f>
        <v>110.33333333333333</v>
      </c>
      <c r="J18" s="9">
        <f>IF(AND($A18&gt;=1,$A18&lt;=8,J$15&gt;=1,J$15&lt;=8),(INDEX(Kernels!$B$5:$D$7,1,1)*INDEX(Datos!$B$3:$K$12,($A18+1)+-1,(J$15+1)+-1)+INDEX(Kernels!$B$5:$D$7,1,2)*INDEX(Datos!$B$3:$K$12,($A18+1)+-1,(J$15+1)+0)+INDEX(Kernels!$B$5:$D$7,1,3)*INDEX(Datos!$B$3:$K$12,($A18+1)+-1,(J$15+1)+1)+INDEX(Kernels!$B$5:$D$7,2,1)*INDEX(Datos!$B$3:$K$12,($A18+1)+0,(J$15+1)+-1)+INDEX(Kernels!$B$5:$D$7,2,2)*INDEX(Datos!$B$3:$K$12,($A18+1)+0,(J$15+1)+0)+INDEX(Kernels!$B$5:$D$7,2,3)*INDEX(Datos!$B$3:$K$12,($A18+1)+0,(J$15+1)+1)+INDEX(Kernels!$B$5:$D$7,3,1)*INDEX(Datos!$B$3:$K$12,($A18+1)+1,(J$15+1)+-1)+INDEX(Kernels!$B$5:$D$7,3,2)*INDEX(Datos!$B$3:$K$12,($A18+1)+1,(J$15+1)+0)+INDEX(Kernels!$B$5:$D$7,3,3)*INDEX(Datos!$B$3:$K$12,($A18+1)+1,(J$15+1)+1))/Kernels!$F$6,"")</f>
        <v>108.66666666666667</v>
      </c>
      <c r="K18" s="9" t="str">
        <f>IF(AND($A18&gt;=1,$A18&lt;=8,K$15&gt;=1,K$15&lt;=8),(INDEX(Kernels!$B$5:$D$7,1,1)*INDEX(Datos!$B$3:$K$12,($A18+1)+-1,(K$15+1)+-1)+INDEX(Kernels!$B$5:$D$7,1,2)*INDEX(Datos!$B$3:$K$12,($A18+1)+-1,(K$15+1)+0)+INDEX(Kernels!$B$5:$D$7,1,3)*INDEX(Datos!$B$3:$K$12,($A18+1)+-1,(K$15+1)+1)+INDEX(Kernels!$B$5:$D$7,2,1)*INDEX(Datos!$B$3:$K$12,($A18+1)+0,(K$15+1)+-1)+INDEX(Kernels!$B$5:$D$7,2,2)*INDEX(Datos!$B$3:$K$12,($A18+1)+0,(K$15+1)+0)+INDEX(Kernels!$B$5:$D$7,2,3)*INDEX(Datos!$B$3:$K$12,($A18+1)+0,(K$15+1)+1)+INDEX(Kernels!$B$5:$D$7,3,1)*INDEX(Datos!$B$3:$K$12,($A18+1)+1,(K$15+1)+-1)+INDEX(Kernels!$B$5:$D$7,3,2)*INDEX(Datos!$B$3:$K$12,($A18+1)+1,(K$15+1)+0)+INDEX(Kernels!$B$5:$D$7,3,3)*INDEX(Datos!$B$3:$K$12,($A18+1)+1,(K$15+1)+1))/Kernels!$F$6,"")</f>
        <v/>
      </c>
    </row>
    <row r="19" spans="1:11" ht="24" customHeight="1" x14ac:dyDescent="0.2">
      <c r="A19" s="10">
        <v>3</v>
      </c>
      <c r="B19" s="9" t="str">
        <f>IF(AND($A19&gt;=1,$A19&lt;=8,B$15&gt;=1,B$15&lt;=8),(INDEX(Kernels!$B$5:$D$7,1,1)*INDEX(Datos!$B$3:$K$12,($A19+1)+-1,(B$15+1)+-1)+INDEX(Kernels!$B$5:$D$7,1,2)*INDEX(Datos!$B$3:$K$12,($A19+1)+-1,(B$15+1)+0)+INDEX(Kernels!$B$5:$D$7,1,3)*INDEX(Datos!$B$3:$K$12,($A19+1)+-1,(B$15+1)+1)+INDEX(Kernels!$B$5:$D$7,2,1)*INDEX(Datos!$B$3:$K$12,($A19+1)+0,(B$15+1)+-1)+INDEX(Kernels!$B$5:$D$7,2,2)*INDEX(Datos!$B$3:$K$12,($A19+1)+0,(B$15+1)+0)+INDEX(Kernels!$B$5:$D$7,2,3)*INDEX(Datos!$B$3:$K$12,($A19+1)+0,(B$15+1)+1)+INDEX(Kernels!$B$5:$D$7,3,1)*INDEX(Datos!$B$3:$K$12,($A19+1)+1,(B$15+1)+-1)+INDEX(Kernels!$B$5:$D$7,3,2)*INDEX(Datos!$B$3:$K$12,($A19+1)+1,(B$15+1)+0)+INDEX(Kernels!$B$5:$D$7,3,3)*INDEX(Datos!$B$3:$K$12,($A19+1)+1,(B$15+1)+1))/Kernels!$F$6,"")</f>
        <v/>
      </c>
      <c r="C19" s="9">
        <f>IF(AND($A19&gt;=1,$A19&lt;=8,C$15&gt;=1,C$15&lt;=8),(INDEX(Kernels!$B$5:$D$7,1,1)*INDEX(Datos!$B$3:$K$12,($A19+1)+-1,(C$15+1)+-1)+INDEX(Kernels!$B$5:$D$7,1,2)*INDEX(Datos!$B$3:$K$12,($A19+1)+-1,(C$15+1)+0)+INDEX(Kernels!$B$5:$D$7,1,3)*INDEX(Datos!$B$3:$K$12,($A19+1)+-1,(C$15+1)+1)+INDEX(Kernels!$B$5:$D$7,2,1)*INDEX(Datos!$B$3:$K$12,($A19+1)+0,(C$15+1)+-1)+INDEX(Kernels!$B$5:$D$7,2,2)*INDEX(Datos!$B$3:$K$12,($A19+1)+0,(C$15+1)+0)+INDEX(Kernels!$B$5:$D$7,2,3)*INDEX(Datos!$B$3:$K$12,($A19+1)+0,(C$15+1)+1)+INDEX(Kernels!$B$5:$D$7,3,1)*INDEX(Datos!$B$3:$K$12,($A19+1)+1,(C$15+1)+-1)+INDEX(Kernels!$B$5:$D$7,3,2)*INDEX(Datos!$B$3:$K$12,($A19+1)+1,(C$15+1)+0)+INDEX(Kernels!$B$5:$D$7,3,3)*INDEX(Datos!$B$3:$K$12,($A19+1)+1,(C$15+1)+1))/Kernels!$F$6,"")</f>
        <v>124.44444444444444</v>
      </c>
      <c r="D19" s="9">
        <f>IF(AND($A19&gt;=1,$A19&lt;=8,D$15&gt;=1,D$15&lt;=8),(INDEX(Kernels!$B$5:$D$7,1,1)*INDEX(Datos!$B$3:$K$12,($A19+1)+-1,(D$15+1)+-1)+INDEX(Kernels!$B$5:$D$7,1,2)*INDEX(Datos!$B$3:$K$12,($A19+1)+-1,(D$15+1)+0)+INDEX(Kernels!$B$5:$D$7,1,3)*INDEX(Datos!$B$3:$K$12,($A19+1)+-1,(D$15+1)+1)+INDEX(Kernels!$B$5:$D$7,2,1)*INDEX(Datos!$B$3:$K$12,($A19+1)+0,(D$15+1)+-1)+INDEX(Kernels!$B$5:$D$7,2,2)*INDEX(Datos!$B$3:$K$12,($A19+1)+0,(D$15+1)+0)+INDEX(Kernels!$B$5:$D$7,2,3)*INDEX(Datos!$B$3:$K$12,($A19+1)+0,(D$15+1)+1)+INDEX(Kernels!$B$5:$D$7,3,1)*INDEX(Datos!$B$3:$K$12,($A19+1)+1,(D$15+1)+-1)+INDEX(Kernels!$B$5:$D$7,3,2)*INDEX(Datos!$B$3:$K$12,($A19+1)+1,(D$15+1)+0)+INDEX(Kernels!$B$5:$D$7,3,3)*INDEX(Datos!$B$3:$K$12,($A19+1)+1,(D$15+1)+1))/Kernels!$F$6,"")</f>
        <v>118.44444444444444</v>
      </c>
      <c r="E19" s="9">
        <f>IF(AND($A19&gt;=1,$A19&lt;=8,E$15&gt;=1,E$15&lt;=8),(INDEX(Kernels!$B$5:$D$7,1,1)*INDEX(Datos!$B$3:$K$12,($A19+1)+-1,(E$15+1)+-1)+INDEX(Kernels!$B$5:$D$7,1,2)*INDEX(Datos!$B$3:$K$12,($A19+1)+-1,(E$15+1)+0)+INDEX(Kernels!$B$5:$D$7,1,3)*INDEX(Datos!$B$3:$K$12,($A19+1)+-1,(E$15+1)+1)+INDEX(Kernels!$B$5:$D$7,2,1)*INDEX(Datos!$B$3:$K$12,($A19+1)+0,(E$15+1)+-1)+INDEX(Kernels!$B$5:$D$7,2,2)*INDEX(Datos!$B$3:$K$12,($A19+1)+0,(E$15+1)+0)+INDEX(Kernels!$B$5:$D$7,2,3)*INDEX(Datos!$B$3:$K$12,($A19+1)+0,(E$15+1)+1)+INDEX(Kernels!$B$5:$D$7,3,1)*INDEX(Datos!$B$3:$K$12,($A19+1)+1,(E$15+1)+-1)+INDEX(Kernels!$B$5:$D$7,3,2)*INDEX(Datos!$B$3:$K$12,($A19+1)+1,(E$15+1)+0)+INDEX(Kernels!$B$5:$D$7,3,3)*INDEX(Datos!$B$3:$K$12,($A19+1)+1,(E$15+1)+1))/Kernels!$F$6,"")</f>
        <v>102.11111111111111</v>
      </c>
      <c r="F19" s="9">
        <f>IF(AND($A19&gt;=1,$A19&lt;=8,F$15&gt;=1,F$15&lt;=8),(INDEX(Kernels!$B$5:$D$7,1,1)*INDEX(Datos!$B$3:$K$12,($A19+1)+-1,(F$15+1)+-1)+INDEX(Kernels!$B$5:$D$7,1,2)*INDEX(Datos!$B$3:$K$12,($A19+1)+-1,(F$15+1)+0)+INDEX(Kernels!$B$5:$D$7,1,3)*INDEX(Datos!$B$3:$K$12,($A19+1)+-1,(F$15+1)+1)+INDEX(Kernels!$B$5:$D$7,2,1)*INDEX(Datos!$B$3:$K$12,($A19+1)+0,(F$15+1)+-1)+INDEX(Kernels!$B$5:$D$7,2,2)*INDEX(Datos!$B$3:$K$12,($A19+1)+0,(F$15+1)+0)+INDEX(Kernels!$B$5:$D$7,2,3)*INDEX(Datos!$B$3:$K$12,($A19+1)+0,(F$15+1)+1)+INDEX(Kernels!$B$5:$D$7,3,1)*INDEX(Datos!$B$3:$K$12,($A19+1)+1,(F$15+1)+-1)+INDEX(Kernels!$B$5:$D$7,3,2)*INDEX(Datos!$B$3:$K$12,($A19+1)+1,(F$15+1)+0)+INDEX(Kernels!$B$5:$D$7,3,3)*INDEX(Datos!$B$3:$K$12,($A19+1)+1,(F$15+1)+1))/Kernels!$F$6,"")</f>
        <v>92</v>
      </c>
      <c r="G19" s="9">
        <f>IF(AND($A19&gt;=1,$A19&lt;=8,G$15&gt;=1,G$15&lt;=8),(INDEX(Kernels!$B$5:$D$7,1,1)*INDEX(Datos!$B$3:$K$12,($A19+1)+-1,(G$15+1)+-1)+INDEX(Kernels!$B$5:$D$7,1,2)*INDEX(Datos!$B$3:$K$12,($A19+1)+-1,(G$15+1)+0)+INDEX(Kernels!$B$5:$D$7,1,3)*INDEX(Datos!$B$3:$K$12,($A19+1)+-1,(G$15+1)+1)+INDEX(Kernels!$B$5:$D$7,2,1)*INDEX(Datos!$B$3:$K$12,($A19+1)+0,(G$15+1)+-1)+INDEX(Kernels!$B$5:$D$7,2,2)*INDEX(Datos!$B$3:$K$12,($A19+1)+0,(G$15+1)+0)+INDEX(Kernels!$B$5:$D$7,2,3)*INDEX(Datos!$B$3:$K$12,($A19+1)+0,(G$15+1)+1)+INDEX(Kernels!$B$5:$D$7,3,1)*INDEX(Datos!$B$3:$K$12,($A19+1)+1,(G$15+1)+-1)+INDEX(Kernels!$B$5:$D$7,3,2)*INDEX(Datos!$B$3:$K$12,($A19+1)+1,(G$15+1)+0)+INDEX(Kernels!$B$5:$D$7,3,3)*INDEX(Datos!$B$3:$K$12,($A19+1)+1,(G$15+1)+1))/Kernels!$F$6,"")</f>
        <v>98.777777777777771</v>
      </c>
      <c r="H19" s="9">
        <f>IF(AND($A19&gt;=1,$A19&lt;=8,H$15&gt;=1,H$15&lt;=8),(INDEX(Kernels!$B$5:$D$7,1,1)*INDEX(Datos!$B$3:$K$12,($A19+1)+-1,(H$15+1)+-1)+INDEX(Kernels!$B$5:$D$7,1,2)*INDEX(Datos!$B$3:$K$12,($A19+1)+-1,(H$15+1)+0)+INDEX(Kernels!$B$5:$D$7,1,3)*INDEX(Datos!$B$3:$K$12,($A19+1)+-1,(H$15+1)+1)+INDEX(Kernels!$B$5:$D$7,2,1)*INDEX(Datos!$B$3:$K$12,($A19+1)+0,(H$15+1)+-1)+INDEX(Kernels!$B$5:$D$7,2,2)*INDEX(Datos!$B$3:$K$12,($A19+1)+0,(H$15+1)+0)+INDEX(Kernels!$B$5:$D$7,2,3)*INDEX(Datos!$B$3:$K$12,($A19+1)+0,(H$15+1)+1)+INDEX(Kernels!$B$5:$D$7,3,1)*INDEX(Datos!$B$3:$K$12,($A19+1)+1,(H$15+1)+-1)+INDEX(Kernels!$B$5:$D$7,3,2)*INDEX(Datos!$B$3:$K$12,($A19+1)+1,(H$15+1)+0)+INDEX(Kernels!$B$5:$D$7,3,3)*INDEX(Datos!$B$3:$K$12,($A19+1)+1,(H$15+1)+1))/Kernels!$F$6,"")</f>
        <v>115.22222222222223</v>
      </c>
      <c r="I19" s="9">
        <f>IF(AND($A19&gt;=1,$A19&lt;=8,I$15&gt;=1,I$15&lt;=8),(INDEX(Kernels!$B$5:$D$7,1,1)*INDEX(Datos!$B$3:$K$12,($A19+1)+-1,(I$15+1)+-1)+INDEX(Kernels!$B$5:$D$7,1,2)*INDEX(Datos!$B$3:$K$12,($A19+1)+-1,(I$15+1)+0)+INDEX(Kernels!$B$5:$D$7,1,3)*INDEX(Datos!$B$3:$K$12,($A19+1)+-1,(I$15+1)+1)+INDEX(Kernels!$B$5:$D$7,2,1)*INDEX(Datos!$B$3:$K$12,($A19+1)+0,(I$15+1)+-1)+INDEX(Kernels!$B$5:$D$7,2,2)*INDEX(Datos!$B$3:$K$12,($A19+1)+0,(I$15+1)+0)+INDEX(Kernels!$B$5:$D$7,2,3)*INDEX(Datos!$B$3:$K$12,($A19+1)+0,(I$15+1)+1)+INDEX(Kernels!$B$5:$D$7,3,1)*INDEX(Datos!$B$3:$K$12,($A19+1)+1,(I$15+1)+-1)+INDEX(Kernels!$B$5:$D$7,3,2)*INDEX(Datos!$B$3:$K$12,($A19+1)+1,(I$15+1)+0)+INDEX(Kernels!$B$5:$D$7,3,3)*INDEX(Datos!$B$3:$K$12,($A19+1)+1,(I$15+1)+1))/Kernels!$F$6,"")</f>
        <v>132.55555555555554</v>
      </c>
      <c r="J19" s="9">
        <f>IF(AND($A19&gt;=1,$A19&lt;=8,J$15&gt;=1,J$15&lt;=8),(INDEX(Kernels!$B$5:$D$7,1,1)*INDEX(Datos!$B$3:$K$12,($A19+1)+-1,(J$15+1)+-1)+INDEX(Kernels!$B$5:$D$7,1,2)*INDEX(Datos!$B$3:$K$12,($A19+1)+-1,(J$15+1)+0)+INDEX(Kernels!$B$5:$D$7,1,3)*INDEX(Datos!$B$3:$K$12,($A19+1)+-1,(J$15+1)+1)+INDEX(Kernels!$B$5:$D$7,2,1)*INDEX(Datos!$B$3:$K$12,($A19+1)+0,(J$15+1)+-1)+INDEX(Kernels!$B$5:$D$7,2,2)*INDEX(Datos!$B$3:$K$12,($A19+1)+0,(J$15+1)+0)+INDEX(Kernels!$B$5:$D$7,2,3)*INDEX(Datos!$B$3:$K$12,($A19+1)+0,(J$15+1)+1)+INDEX(Kernels!$B$5:$D$7,3,1)*INDEX(Datos!$B$3:$K$12,($A19+1)+1,(J$15+1)+-1)+INDEX(Kernels!$B$5:$D$7,3,2)*INDEX(Datos!$B$3:$K$12,($A19+1)+1,(J$15+1)+0)+INDEX(Kernels!$B$5:$D$7,3,3)*INDEX(Datos!$B$3:$K$12,($A19+1)+1,(J$15+1)+1))/Kernels!$F$6,"")</f>
        <v>131.88888888888889</v>
      </c>
      <c r="K19" s="9" t="str">
        <f>IF(AND($A19&gt;=1,$A19&lt;=8,K$15&gt;=1,K$15&lt;=8),(INDEX(Kernels!$B$5:$D$7,1,1)*INDEX(Datos!$B$3:$K$12,($A19+1)+-1,(K$15+1)+-1)+INDEX(Kernels!$B$5:$D$7,1,2)*INDEX(Datos!$B$3:$K$12,($A19+1)+-1,(K$15+1)+0)+INDEX(Kernels!$B$5:$D$7,1,3)*INDEX(Datos!$B$3:$K$12,($A19+1)+-1,(K$15+1)+1)+INDEX(Kernels!$B$5:$D$7,2,1)*INDEX(Datos!$B$3:$K$12,($A19+1)+0,(K$15+1)+-1)+INDEX(Kernels!$B$5:$D$7,2,2)*INDEX(Datos!$B$3:$K$12,($A19+1)+0,(K$15+1)+0)+INDEX(Kernels!$B$5:$D$7,2,3)*INDEX(Datos!$B$3:$K$12,($A19+1)+0,(K$15+1)+1)+INDEX(Kernels!$B$5:$D$7,3,1)*INDEX(Datos!$B$3:$K$12,($A19+1)+1,(K$15+1)+-1)+INDEX(Kernels!$B$5:$D$7,3,2)*INDEX(Datos!$B$3:$K$12,($A19+1)+1,(K$15+1)+0)+INDEX(Kernels!$B$5:$D$7,3,3)*INDEX(Datos!$B$3:$K$12,($A19+1)+1,(K$15+1)+1))/Kernels!$F$6,"")</f>
        <v/>
      </c>
    </row>
    <row r="20" spans="1:11" ht="24" customHeight="1" x14ac:dyDescent="0.2">
      <c r="A20" s="10">
        <v>4</v>
      </c>
      <c r="B20" s="9" t="str">
        <f>IF(AND($A20&gt;=1,$A20&lt;=8,B$15&gt;=1,B$15&lt;=8),(INDEX(Kernels!$B$5:$D$7,1,1)*INDEX(Datos!$B$3:$K$12,($A20+1)+-1,(B$15+1)+-1)+INDEX(Kernels!$B$5:$D$7,1,2)*INDEX(Datos!$B$3:$K$12,($A20+1)+-1,(B$15+1)+0)+INDEX(Kernels!$B$5:$D$7,1,3)*INDEX(Datos!$B$3:$K$12,($A20+1)+-1,(B$15+1)+1)+INDEX(Kernels!$B$5:$D$7,2,1)*INDEX(Datos!$B$3:$K$12,($A20+1)+0,(B$15+1)+-1)+INDEX(Kernels!$B$5:$D$7,2,2)*INDEX(Datos!$B$3:$K$12,($A20+1)+0,(B$15+1)+0)+INDEX(Kernels!$B$5:$D$7,2,3)*INDEX(Datos!$B$3:$K$12,($A20+1)+0,(B$15+1)+1)+INDEX(Kernels!$B$5:$D$7,3,1)*INDEX(Datos!$B$3:$K$12,($A20+1)+1,(B$15+1)+-1)+INDEX(Kernels!$B$5:$D$7,3,2)*INDEX(Datos!$B$3:$K$12,($A20+1)+1,(B$15+1)+0)+INDEX(Kernels!$B$5:$D$7,3,3)*INDEX(Datos!$B$3:$K$12,($A20+1)+1,(B$15+1)+1))/Kernels!$F$6,"")</f>
        <v/>
      </c>
      <c r="C20" s="9">
        <f>IF(AND($A20&gt;=1,$A20&lt;=8,C$15&gt;=1,C$15&lt;=8),(INDEX(Kernels!$B$5:$D$7,1,1)*INDEX(Datos!$B$3:$K$12,($A20+1)+-1,(C$15+1)+-1)+INDEX(Kernels!$B$5:$D$7,1,2)*INDEX(Datos!$B$3:$K$12,($A20+1)+-1,(C$15+1)+0)+INDEX(Kernels!$B$5:$D$7,1,3)*INDEX(Datos!$B$3:$K$12,($A20+1)+-1,(C$15+1)+1)+INDEX(Kernels!$B$5:$D$7,2,1)*INDEX(Datos!$B$3:$K$12,($A20+1)+0,(C$15+1)+-1)+INDEX(Kernels!$B$5:$D$7,2,2)*INDEX(Datos!$B$3:$K$12,($A20+1)+0,(C$15+1)+0)+INDEX(Kernels!$B$5:$D$7,2,3)*INDEX(Datos!$B$3:$K$12,($A20+1)+0,(C$15+1)+1)+INDEX(Kernels!$B$5:$D$7,3,1)*INDEX(Datos!$B$3:$K$12,($A20+1)+1,(C$15+1)+-1)+INDEX(Kernels!$B$5:$D$7,3,2)*INDEX(Datos!$B$3:$K$12,($A20+1)+1,(C$15+1)+0)+INDEX(Kernels!$B$5:$D$7,3,3)*INDEX(Datos!$B$3:$K$12,($A20+1)+1,(C$15+1)+1))/Kernels!$F$6,"")</f>
        <v>117.66666666666667</v>
      </c>
      <c r="D20" s="9">
        <f>IF(AND($A20&gt;=1,$A20&lt;=8,D$15&gt;=1,D$15&lt;=8),(INDEX(Kernels!$B$5:$D$7,1,1)*INDEX(Datos!$B$3:$K$12,($A20+1)+-1,(D$15+1)+-1)+INDEX(Kernels!$B$5:$D$7,1,2)*INDEX(Datos!$B$3:$K$12,($A20+1)+-1,(D$15+1)+0)+INDEX(Kernels!$B$5:$D$7,1,3)*INDEX(Datos!$B$3:$K$12,($A20+1)+-1,(D$15+1)+1)+INDEX(Kernels!$B$5:$D$7,2,1)*INDEX(Datos!$B$3:$K$12,($A20+1)+0,(D$15+1)+-1)+INDEX(Kernels!$B$5:$D$7,2,2)*INDEX(Datos!$B$3:$K$12,($A20+1)+0,(D$15+1)+0)+INDEX(Kernels!$B$5:$D$7,2,3)*INDEX(Datos!$B$3:$K$12,($A20+1)+0,(D$15+1)+1)+INDEX(Kernels!$B$5:$D$7,3,1)*INDEX(Datos!$B$3:$K$12,($A20+1)+1,(D$15+1)+-1)+INDEX(Kernels!$B$5:$D$7,3,2)*INDEX(Datos!$B$3:$K$12,($A20+1)+1,(D$15+1)+0)+INDEX(Kernels!$B$5:$D$7,3,3)*INDEX(Datos!$B$3:$K$12,($A20+1)+1,(D$15+1)+1))/Kernels!$F$6,"")</f>
        <v>107.55555555555556</v>
      </c>
      <c r="E20" s="9">
        <f>IF(AND($A20&gt;=1,$A20&lt;=8,E$15&gt;=1,E$15&lt;=8),(INDEX(Kernels!$B$5:$D$7,1,1)*INDEX(Datos!$B$3:$K$12,($A20+1)+-1,(E$15+1)+-1)+INDEX(Kernels!$B$5:$D$7,1,2)*INDEX(Datos!$B$3:$K$12,($A20+1)+-1,(E$15+1)+0)+INDEX(Kernels!$B$5:$D$7,1,3)*INDEX(Datos!$B$3:$K$12,($A20+1)+-1,(E$15+1)+1)+INDEX(Kernels!$B$5:$D$7,2,1)*INDEX(Datos!$B$3:$K$12,($A20+1)+0,(E$15+1)+-1)+INDEX(Kernels!$B$5:$D$7,2,2)*INDEX(Datos!$B$3:$K$12,($A20+1)+0,(E$15+1)+0)+INDEX(Kernels!$B$5:$D$7,2,3)*INDEX(Datos!$B$3:$K$12,($A20+1)+0,(E$15+1)+1)+INDEX(Kernels!$B$5:$D$7,3,1)*INDEX(Datos!$B$3:$K$12,($A20+1)+1,(E$15+1)+-1)+INDEX(Kernels!$B$5:$D$7,3,2)*INDEX(Datos!$B$3:$K$12,($A20+1)+1,(E$15+1)+0)+INDEX(Kernels!$B$5:$D$7,3,3)*INDEX(Datos!$B$3:$K$12,($A20+1)+1,(E$15+1)+1))/Kernels!$F$6,"")</f>
        <v>95</v>
      </c>
      <c r="F20" s="9">
        <f>IF(AND($A20&gt;=1,$A20&lt;=8,F$15&gt;=1,F$15&lt;=8),(INDEX(Kernels!$B$5:$D$7,1,1)*INDEX(Datos!$B$3:$K$12,($A20+1)+-1,(F$15+1)+-1)+INDEX(Kernels!$B$5:$D$7,1,2)*INDEX(Datos!$B$3:$K$12,($A20+1)+-1,(F$15+1)+0)+INDEX(Kernels!$B$5:$D$7,1,3)*INDEX(Datos!$B$3:$K$12,($A20+1)+-1,(F$15+1)+1)+INDEX(Kernels!$B$5:$D$7,2,1)*INDEX(Datos!$B$3:$K$12,($A20+1)+0,(F$15+1)+-1)+INDEX(Kernels!$B$5:$D$7,2,2)*INDEX(Datos!$B$3:$K$12,($A20+1)+0,(F$15+1)+0)+INDEX(Kernels!$B$5:$D$7,2,3)*INDEX(Datos!$B$3:$K$12,($A20+1)+0,(F$15+1)+1)+INDEX(Kernels!$B$5:$D$7,3,1)*INDEX(Datos!$B$3:$K$12,($A20+1)+1,(F$15+1)+-1)+INDEX(Kernels!$B$5:$D$7,3,2)*INDEX(Datos!$B$3:$K$12,($A20+1)+1,(F$15+1)+0)+INDEX(Kernels!$B$5:$D$7,3,3)*INDEX(Datos!$B$3:$K$12,($A20+1)+1,(F$15+1)+1))/Kernels!$F$6,"")</f>
        <v>94</v>
      </c>
      <c r="G20" s="9">
        <f>IF(AND($A20&gt;=1,$A20&lt;=8,G$15&gt;=1,G$15&lt;=8),(INDEX(Kernels!$B$5:$D$7,1,1)*INDEX(Datos!$B$3:$K$12,($A20+1)+-1,(G$15+1)+-1)+INDEX(Kernels!$B$5:$D$7,1,2)*INDEX(Datos!$B$3:$K$12,($A20+1)+-1,(G$15+1)+0)+INDEX(Kernels!$B$5:$D$7,1,3)*INDEX(Datos!$B$3:$K$12,($A20+1)+-1,(G$15+1)+1)+INDEX(Kernels!$B$5:$D$7,2,1)*INDEX(Datos!$B$3:$K$12,($A20+1)+0,(G$15+1)+-1)+INDEX(Kernels!$B$5:$D$7,2,2)*INDEX(Datos!$B$3:$K$12,($A20+1)+0,(G$15+1)+0)+INDEX(Kernels!$B$5:$D$7,2,3)*INDEX(Datos!$B$3:$K$12,($A20+1)+0,(G$15+1)+1)+INDEX(Kernels!$B$5:$D$7,3,1)*INDEX(Datos!$B$3:$K$12,($A20+1)+1,(G$15+1)+-1)+INDEX(Kernels!$B$5:$D$7,3,2)*INDEX(Datos!$B$3:$K$12,($A20+1)+1,(G$15+1)+0)+INDEX(Kernels!$B$5:$D$7,3,3)*INDEX(Datos!$B$3:$K$12,($A20+1)+1,(G$15+1)+1))/Kernels!$F$6,"")</f>
        <v>107.44444444444444</v>
      </c>
      <c r="H20" s="9">
        <f>IF(AND($A20&gt;=1,$A20&lt;=8,H$15&gt;=1,H$15&lt;=8),(INDEX(Kernels!$B$5:$D$7,1,1)*INDEX(Datos!$B$3:$K$12,($A20+1)+-1,(H$15+1)+-1)+INDEX(Kernels!$B$5:$D$7,1,2)*INDEX(Datos!$B$3:$K$12,($A20+1)+-1,(H$15+1)+0)+INDEX(Kernels!$B$5:$D$7,1,3)*INDEX(Datos!$B$3:$K$12,($A20+1)+-1,(H$15+1)+1)+INDEX(Kernels!$B$5:$D$7,2,1)*INDEX(Datos!$B$3:$K$12,($A20+1)+0,(H$15+1)+-1)+INDEX(Kernels!$B$5:$D$7,2,2)*INDEX(Datos!$B$3:$K$12,($A20+1)+0,(H$15+1)+0)+INDEX(Kernels!$B$5:$D$7,2,3)*INDEX(Datos!$B$3:$K$12,($A20+1)+0,(H$15+1)+1)+INDEX(Kernels!$B$5:$D$7,3,1)*INDEX(Datos!$B$3:$K$12,($A20+1)+1,(H$15+1)+-1)+INDEX(Kernels!$B$5:$D$7,3,2)*INDEX(Datos!$B$3:$K$12,($A20+1)+1,(H$15+1)+0)+INDEX(Kernels!$B$5:$D$7,3,3)*INDEX(Datos!$B$3:$K$12,($A20+1)+1,(H$15+1)+1))/Kernels!$F$6,"")</f>
        <v>123.77777777777777</v>
      </c>
      <c r="I20" s="9">
        <f>IF(AND($A20&gt;=1,$A20&lt;=8,I$15&gt;=1,I$15&lt;=8),(INDEX(Kernels!$B$5:$D$7,1,1)*INDEX(Datos!$B$3:$K$12,($A20+1)+-1,(I$15+1)+-1)+INDEX(Kernels!$B$5:$D$7,1,2)*INDEX(Datos!$B$3:$K$12,($A20+1)+-1,(I$15+1)+0)+INDEX(Kernels!$B$5:$D$7,1,3)*INDEX(Datos!$B$3:$K$12,($A20+1)+-1,(I$15+1)+1)+INDEX(Kernels!$B$5:$D$7,2,1)*INDEX(Datos!$B$3:$K$12,($A20+1)+0,(I$15+1)+-1)+INDEX(Kernels!$B$5:$D$7,2,2)*INDEX(Datos!$B$3:$K$12,($A20+1)+0,(I$15+1)+0)+INDEX(Kernels!$B$5:$D$7,2,3)*INDEX(Datos!$B$3:$K$12,($A20+1)+0,(I$15+1)+1)+INDEX(Kernels!$B$5:$D$7,3,1)*INDEX(Datos!$B$3:$K$12,($A20+1)+1,(I$15+1)+-1)+INDEX(Kernels!$B$5:$D$7,3,2)*INDEX(Datos!$B$3:$K$12,($A20+1)+1,(I$15+1)+0)+INDEX(Kernels!$B$5:$D$7,3,3)*INDEX(Datos!$B$3:$K$12,($A20+1)+1,(I$15+1)+1))/Kernels!$F$6,"")</f>
        <v>138.55555555555554</v>
      </c>
      <c r="J20" s="9">
        <f>IF(AND($A20&gt;=1,$A20&lt;=8,J$15&gt;=1,J$15&lt;=8),(INDEX(Kernels!$B$5:$D$7,1,1)*INDEX(Datos!$B$3:$K$12,($A20+1)+-1,(J$15+1)+-1)+INDEX(Kernels!$B$5:$D$7,1,2)*INDEX(Datos!$B$3:$K$12,($A20+1)+-1,(J$15+1)+0)+INDEX(Kernels!$B$5:$D$7,1,3)*INDEX(Datos!$B$3:$K$12,($A20+1)+-1,(J$15+1)+1)+INDEX(Kernels!$B$5:$D$7,2,1)*INDEX(Datos!$B$3:$K$12,($A20+1)+0,(J$15+1)+-1)+INDEX(Kernels!$B$5:$D$7,2,2)*INDEX(Datos!$B$3:$K$12,($A20+1)+0,(J$15+1)+0)+INDEX(Kernels!$B$5:$D$7,2,3)*INDEX(Datos!$B$3:$K$12,($A20+1)+0,(J$15+1)+1)+INDEX(Kernels!$B$5:$D$7,3,1)*INDEX(Datos!$B$3:$K$12,($A20+1)+1,(J$15+1)+-1)+INDEX(Kernels!$B$5:$D$7,3,2)*INDEX(Datos!$B$3:$K$12,($A20+1)+1,(J$15+1)+0)+INDEX(Kernels!$B$5:$D$7,3,3)*INDEX(Datos!$B$3:$K$12,($A20+1)+1,(J$15+1)+1))/Kernels!$F$6,"")</f>
        <v>135.66666666666666</v>
      </c>
      <c r="K20" s="9" t="str">
        <f>IF(AND($A20&gt;=1,$A20&lt;=8,K$15&gt;=1,K$15&lt;=8),(INDEX(Kernels!$B$5:$D$7,1,1)*INDEX(Datos!$B$3:$K$12,($A20+1)+-1,(K$15+1)+-1)+INDEX(Kernels!$B$5:$D$7,1,2)*INDEX(Datos!$B$3:$K$12,($A20+1)+-1,(K$15+1)+0)+INDEX(Kernels!$B$5:$D$7,1,3)*INDEX(Datos!$B$3:$K$12,($A20+1)+-1,(K$15+1)+1)+INDEX(Kernels!$B$5:$D$7,2,1)*INDEX(Datos!$B$3:$K$12,($A20+1)+0,(K$15+1)+-1)+INDEX(Kernels!$B$5:$D$7,2,2)*INDEX(Datos!$B$3:$K$12,($A20+1)+0,(K$15+1)+0)+INDEX(Kernels!$B$5:$D$7,2,3)*INDEX(Datos!$B$3:$K$12,($A20+1)+0,(K$15+1)+1)+INDEX(Kernels!$B$5:$D$7,3,1)*INDEX(Datos!$B$3:$K$12,($A20+1)+1,(K$15+1)+-1)+INDEX(Kernels!$B$5:$D$7,3,2)*INDEX(Datos!$B$3:$K$12,($A20+1)+1,(K$15+1)+0)+INDEX(Kernels!$B$5:$D$7,3,3)*INDEX(Datos!$B$3:$K$12,($A20+1)+1,(K$15+1)+1))/Kernels!$F$6,"")</f>
        <v/>
      </c>
    </row>
    <row r="21" spans="1:11" ht="24" customHeight="1" x14ac:dyDescent="0.2">
      <c r="A21" s="10">
        <v>5</v>
      </c>
      <c r="B21" s="9" t="str">
        <f>IF(AND($A21&gt;=1,$A21&lt;=8,B$15&gt;=1,B$15&lt;=8),(INDEX(Kernels!$B$5:$D$7,1,1)*INDEX(Datos!$B$3:$K$12,($A21+1)+-1,(B$15+1)+-1)+INDEX(Kernels!$B$5:$D$7,1,2)*INDEX(Datos!$B$3:$K$12,($A21+1)+-1,(B$15+1)+0)+INDEX(Kernels!$B$5:$D$7,1,3)*INDEX(Datos!$B$3:$K$12,($A21+1)+-1,(B$15+1)+1)+INDEX(Kernels!$B$5:$D$7,2,1)*INDEX(Datos!$B$3:$K$12,($A21+1)+0,(B$15+1)+-1)+INDEX(Kernels!$B$5:$D$7,2,2)*INDEX(Datos!$B$3:$K$12,($A21+1)+0,(B$15+1)+0)+INDEX(Kernels!$B$5:$D$7,2,3)*INDEX(Datos!$B$3:$K$12,($A21+1)+0,(B$15+1)+1)+INDEX(Kernels!$B$5:$D$7,3,1)*INDEX(Datos!$B$3:$K$12,($A21+1)+1,(B$15+1)+-1)+INDEX(Kernels!$B$5:$D$7,3,2)*INDEX(Datos!$B$3:$K$12,($A21+1)+1,(B$15+1)+0)+INDEX(Kernels!$B$5:$D$7,3,3)*INDEX(Datos!$B$3:$K$12,($A21+1)+1,(B$15+1)+1))/Kernels!$F$6,"")</f>
        <v/>
      </c>
      <c r="C21" s="9">
        <f>IF(AND($A21&gt;=1,$A21&lt;=8,C$15&gt;=1,C$15&lt;=8),(INDEX(Kernels!$B$5:$D$7,1,1)*INDEX(Datos!$B$3:$K$12,($A21+1)+-1,(C$15+1)+-1)+INDEX(Kernels!$B$5:$D$7,1,2)*INDEX(Datos!$B$3:$K$12,($A21+1)+-1,(C$15+1)+0)+INDEX(Kernels!$B$5:$D$7,1,3)*INDEX(Datos!$B$3:$K$12,($A21+1)+-1,(C$15+1)+1)+INDEX(Kernels!$B$5:$D$7,2,1)*INDEX(Datos!$B$3:$K$12,($A21+1)+0,(C$15+1)+-1)+INDEX(Kernels!$B$5:$D$7,2,2)*INDEX(Datos!$B$3:$K$12,($A21+1)+0,(C$15+1)+0)+INDEX(Kernels!$B$5:$D$7,2,3)*INDEX(Datos!$B$3:$K$12,($A21+1)+0,(C$15+1)+1)+INDEX(Kernels!$B$5:$D$7,3,1)*INDEX(Datos!$B$3:$K$12,($A21+1)+1,(C$15+1)+-1)+INDEX(Kernels!$B$5:$D$7,3,2)*INDEX(Datos!$B$3:$K$12,($A21+1)+1,(C$15+1)+0)+INDEX(Kernels!$B$5:$D$7,3,3)*INDEX(Datos!$B$3:$K$12,($A21+1)+1,(C$15+1)+1))/Kernels!$F$6,"")</f>
        <v>98.444444444444443</v>
      </c>
      <c r="D21" s="9">
        <f>IF(AND($A21&gt;=1,$A21&lt;=8,D$15&gt;=1,D$15&lt;=8),(INDEX(Kernels!$B$5:$D$7,1,1)*INDEX(Datos!$B$3:$K$12,($A21+1)+-1,(D$15+1)+-1)+INDEX(Kernels!$B$5:$D$7,1,2)*INDEX(Datos!$B$3:$K$12,($A21+1)+-1,(D$15+1)+0)+INDEX(Kernels!$B$5:$D$7,1,3)*INDEX(Datos!$B$3:$K$12,($A21+1)+-1,(D$15+1)+1)+INDEX(Kernels!$B$5:$D$7,2,1)*INDEX(Datos!$B$3:$K$12,($A21+1)+0,(D$15+1)+-1)+INDEX(Kernels!$B$5:$D$7,2,2)*INDEX(Datos!$B$3:$K$12,($A21+1)+0,(D$15+1)+0)+INDEX(Kernels!$B$5:$D$7,2,3)*INDEX(Datos!$B$3:$K$12,($A21+1)+0,(D$15+1)+1)+INDEX(Kernels!$B$5:$D$7,3,1)*INDEX(Datos!$B$3:$K$12,($A21+1)+1,(D$15+1)+-1)+INDEX(Kernels!$B$5:$D$7,3,2)*INDEX(Datos!$B$3:$K$12,($A21+1)+1,(D$15+1)+0)+INDEX(Kernels!$B$5:$D$7,3,3)*INDEX(Datos!$B$3:$K$12,($A21+1)+1,(D$15+1)+1))/Kernels!$F$6,"")</f>
        <v>93.333333333333329</v>
      </c>
      <c r="E21" s="9">
        <f>IF(AND($A21&gt;=1,$A21&lt;=8,E$15&gt;=1,E$15&lt;=8),(INDEX(Kernels!$B$5:$D$7,1,1)*INDEX(Datos!$B$3:$K$12,($A21+1)+-1,(E$15+1)+-1)+INDEX(Kernels!$B$5:$D$7,1,2)*INDEX(Datos!$B$3:$K$12,($A21+1)+-1,(E$15+1)+0)+INDEX(Kernels!$B$5:$D$7,1,3)*INDEX(Datos!$B$3:$K$12,($A21+1)+-1,(E$15+1)+1)+INDEX(Kernels!$B$5:$D$7,2,1)*INDEX(Datos!$B$3:$K$12,($A21+1)+0,(E$15+1)+-1)+INDEX(Kernels!$B$5:$D$7,2,2)*INDEX(Datos!$B$3:$K$12,($A21+1)+0,(E$15+1)+0)+INDEX(Kernels!$B$5:$D$7,2,3)*INDEX(Datos!$B$3:$K$12,($A21+1)+0,(E$15+1)+1)+INDEX(Kernels!$B$5:$D$7,3,1)*INDEX(Datos!$B$3:$K$12,($A21+1)+1,(E$15+1)+-1)+INDEX(Kernels!$B$5:$D$7,3,2)*INDEX(Datos!$B$3:$K$12,($A21+1)+1,(E$15+1)+0)+INDEX(Kernels!$B$5:$D$7,3,3)*INDEX(Datos!$B$3:$K$12,($A21+1)+1,(E$15+1)+1))/Kernels!$F$6,"")</f>
        <v>93.555555555555557</v>
      </c>
      <c r="F21" s="9">
        <f>IF(AND($A21&gt;=1,$A21&lt;=8,F$15&gt;=1,F$15&lt;=8),(INDEX(Kernels!$B$5:$D$7,1,1)*INDEX(Datos!$B$3:$K$12,($A21+1)+-1,(F$15+1)+-1)+INDEX(Kernels!$B$5:$D$7,1,2)*INDEX(Datos!$B$3:$K$12,($A21+1)+-1,(F$15+1)+0)+INDEX(Kernels!$B$5:$D$7,1,3)*INDEX(Datos!$B$3:$K$12,($A21+1)+-1,(F$15+1)+1)+INDEX(Kernels!$B$5:$D$7,2,1)*INDEX(Datos!$B$3:$K$12,($A21+1)+0,(F$15+1)+-1)+INDEX(Kernels!$B$5:$D$7,2,2)*INDEX(Datos!$B$3:$K$12,($A21+1)+0,(F$15+1)+0)+INDEX(Kernels!$B$5:$D$7,2,3)*INDEX(Datos!$B$3:$K$12,($A21+1)+0,(F$15+1)+1)+INDEX(Kernels!$B$5:$D$7,3,1)*INDEX(Datos!$B$3:$K$12,($A21+1)+1,(F$15+1)+-1)+INDEX(Kernels!$B$5:$D$7,3,2)*INDEX(Datos!$B$3:$K$12,($A21+1)+1,(F$15+1)+0)+INDEX(Kernels!$B$5:$D$7,3,3)*INDEX(Datos!$B$3:$K$12,($A21+1)+1,(F$15+1)+1))/Kernels!$F$6,"")</f>
        <v>102.44444444444444</v>
      </c>
      <c r="G21" s="9">
        <f>IF(AND($A21&gt;=1,$A21&lt;=8,G$15&gt;=1,G$15&lt;=8),(INDEX(Kernels!$B$5:$D$7,1,1)*INDEX(Datos!$B$3:$K$12,($A21+1)+-1,(G$15+1)+-1)+INDEX(Kernels!$B$5:$D$7,1,2)*INDEX(Datos!$B$3:$K$12,($A21+1)+-1,(G$15+1)+0)+INDEX(Kernels!$B$5:$D$7,1,3)*INDEX(Datos!$B$3:$K$12,($A21+1)+-1,(G$15+1)+1)+INDEX(Kernels!$B$5:$D$7,2,1)*INDEX(Datos!$B$3:$K$12,($A21+1)+0,(G$15+1)+-1)+INDEX(Kernels!$B$5:$D$7,2,2)*INDEX(Datos!$B$3:$K$12,($A21+1)+0,(G$15+1)+0)+INDEX(Kernels!$B$5:$D$7,2,3)*INDEX(Datos!$B$3:$K$12,($A21+1)+0,(G$15+1)+1)+INDEX(Kernels!$B$5:$D$7,3,1)*INDEX(Datos!$B$3:$K$12,($A21+1)+1,(G$15+1)+-1)+INDEX(Kernels!$B$5:$D$7,3,2)*INDEX(Datos!$B$3:$K$12,($A21+1)+1,(G$15+1)+0)+INDEX(Kernels!$B$5:$D$7,3,3)*INDEX(Datos!$B$3:$K$12,($A21+1)+1,(G$15+1)+1))/Kernels!$F$6,"")</f>
        <v>116.44444444444444</v>
      </c>
      <c r="H21" s="9">
        <f>IF(AND($A21&gt;=1,$A21&lt;=8,H$15&gt;=1,H$15&lt;=8),(INDEX(Kernels!$B$5:$D$7,1,1)*INDEX(Datos!$B$3:$K$12,($A21+1)+-1,(H$15+1)+-1)+INDEX(Kernels!$B$5:$D$7,1,2)*INDEX(Datos!$B$3:$K$12,($A21+1)+-1,(H$15+1)+0)+INDEX(Kernels!$B$5:$D$7,1,3)*INDEX(Datos!$B$3:$K$12,($A21+1)+-1,(H$15+1)+1)+INDEX(Kernels!$B$5:$D$7,2,1)*INDEX(Datos!$B$3:$K$12,($A21+1)+0,(H$15+1)+-1)+INDEX(Kernels!$B$5:$D$7,2,2)*INDEX(Datos!$B$3:$K$12,($A21+1)+0,(H$15+1)+0)+INDEX(Kernels!$B$5:$D$7,2,3)*INDEX(Datos!$B$3:$K$12,($A21+1)+0,(H$15+1)+1)+INDEX(Kernels!$B$5:$D$7,3,1)*INDEX(Datos!$B$3:$K$12,($A21+1)+1,(H$15+1)+-1)+INDEX(Kernels!$B$5:$D$7,3,2)*INDEX(Datos!$B$3:$K$12,($A21+1)+1,(H$15+1)+0)+INDEX(Kernels!$B$5:$D$7,3,3)*INDEX(Datos!$B$3:$K$12,($A21+1)+1,(H$15+1)+1))/Kernels!$F$6,"")</f>
        <v>128.44444444444446</v>
      </c>
      <c r="I21" s="9">
        <f>IF(AND($A21&gt;=1,$A21&lt;=8,I$15&gt;=1,I$15&lt;=8),(INDEX(Kernels!$B$5:$D$7,1,1)*INDEX(Datos!$B$3:$K$12,($A21+1)+-1,(I$15+1)+-1)+INDEX(Kernels!$B$5:$D$7,1,2)*INDEX(Datos!$B$3:$K$12,($A21+1)+-1,(I$15+1)+0)+INDEX(Kernels!$B$5:$D$7,1,3)*INDEX(Datos!$B$3:$K$12,($A21+1)+-1,(I$15+1)+1)+INDEX(Kernels!$B$5:$D$7,2,1)*INDEX(Datos!$B$3:$K$12,($A21+1)+0,(I$15+1)+-1)+INDEX(Kernels!$B$5:$D$7,2,2)*INDEX(Datos!$B$3:$K$12,($A21+1)+0,(I$15+1)+0)+INDEX(Kernels!$B$5:$D$7,2,3)*INDEX(Datos!$B$3:$K$12,($A21+1)+0,(I$15+1)+1)+INDEX(Kernels!$B$5:$D$7,3,1)*INDEX(Datos!$B$3:$K$12,($A21+1)+1,(I$15+1)+-1)+INDEX(Kernels!$B$5:$D$7,3,2)*INDEX(Datos!$B$3:$K$12,($A21+1)+1,(I$15+1)+0)+INDEX(Kernels!$B$5:$D$7,3,3)*INDEX(Datos!$B$3:$K$12,($A21+1)+1,(I$15+1)+1))/Kernels!$F$6,"")</f>
        <v>137</v>
      </c>
      <c r="J21" s="9">
        <f>IF(AND($A21&gt;=1,$A21&lt;=8,J$15&gt;=1,J$15&lt;=8),(INDEX(Kernels!$B$5:$D$7,1,1)*INDEX(Datos!$B$3:$K$12,($A21+1)+-1,(J$15+1)+-1)+INDEX(Kernels!$B$5:$D$7,1,2)*INDEX(Datos!$B$3:$K$12,($A21+1)+-1,(J$15+1)+0)+INDEX(Kernels!$B$5:$D$7,1,3)*INDEX(Datos!$B$3:$K$12,($A21+1)+-1,(J$15+1)+1)+INDEX(Kernels!$B$5:$D$7,2,1)*INDEX(Datos!$B$3:$K$12,($A21+1)+0,(J$15+1)+-1)+INDEX(Kernels!$B$5:$D$7,2,2)*INDEX(Datos!$B$3:$K$12,($A21+1)+0,(J$15+1)+0)+INDEX(Kernels!$B$5:$D$7,2,3)*INDEX(Datos!$B$3:$K$12,($A21+1)+0,(J$15+1)+1)+INDEX(Kernels!$B$5:$D$7,3,1)*INDEX(Datos!$B$3:$K$12,($A21+1)+1,(J$15+1)+-1)+INDEX(Kernels!$B$5:$D$7,3,2)*INDEX(Datos!$B$3:$K$12,($A21+1)+1,(J$15+1)+0)+INDEX(Kernels!$B$5:$D$7,3,3)*INDEX(Datos!$B$3:$K$12,($A21+1)+1,(J$15+1)+1))/Kernels!$F$6,"")</f>
        <v>132.44444444444446</v>
      </c>
      <c r="K21" s="9" t="str">
        <f>IF(AND($A21&gt;=1,$A21&lt;=8,K$15&gt;=1,K$15&lt;=8),(INDEX(Kernels!$B$5:$D$7,1,1)*INDEX(Datos!$B$3:$K$12,($A21+1)+-1,(K$15+1)+-1)+INDEX(Kernels!$B$5:$D$7,1,2)*INDEX(Datos!$B$3:$K$12,($A21+1)+-1,(K$15+1)+0)+INDEX(Kernels!$B$5:$D$7,1,3)*INDEX(Datos!$B$3:$K$12,($A21+1)+-1,(K$15+1)+1)+INDEX(Kernels!$B$5:$D$7,2,1)*INDEX(Datos!$B$3:$K$12,($A21+1)+0,(K$15+1)+-1)+INDEX(Kernels!$B$5:$D$7,2,2)*INDEX(Datos!$B$3:$K$12,($A21+1)+0,(K$15+1)+0)+INDEX(Kernels!$B$5:$D$7,2,3)*INDEX(Datos!$B$3:$K$12,($A21+1)+0,(K$15+1)+1)+INDEX(Kernels!$B$5:$D$7,3,1)*INDEX(Datos!$B$3:$K$12,($A21+1)+1,(K$15+1)+-1)+INDEX(Kernels!$B$5:$D$7,3,2)*INDEX(Datos!$B$3:$K$12,($A21+1)+1,(K$15+1)+0)+INDEX(Kernels!$B$5:$D$7,3,3)*INDEX(Datos!$B$3:$K$12,($A21+1)+1,(K$15+1)+1))/Kernels!$F$6,"")</f>
        <v/>
      </c>
    </row>
    <row r="22" spans="1:11" ht="24" customHeight="1" x14ac:dyDescent="0.2">
      <c r="A22" s="10">
        <v>6</v>
      </c>
      <c r="B22" s="9" t="str">
        <f>IF(AND($A22&gt;=1,$A22&lt;=8,B$15&gt;=1,B$15&lt;=8),(INDEX(Kernels!$B$5:$D$7,1,1)*INDEX(Datos!$B$3:$K$12,($A22+1)+-1,(B$15+1)+-1)+INDEX(Kernels!$B$5:$D$7,1,2)*INDEX(Datos!$B$3:$K$12,($A22+1)+-1,(B$15+1)+0)+INDEX(Kernels!$B$5:$D$7,1,3)*INDEX(Datos!$B$3:$K$12,($A22+1)+-1,(B$15+1)+1)+INDEX(Kernels!$B$5:$D$7,2,1)*INDEX(Datos!$B$3:$K$12,($A22+1)+0,(B$15+1)+-1)+INDEX(Kernels!$B$5:$D$7,2,2)*INDEX(Datos!$B$3:$K$12,($A22+1)+0,(B$15+1)+0)+INDEX(Kernels!$B$5:$D$7,2,3)*INDEX(Datos!$B$3:$K$12,($A22+1)+0,(B$15+1)+1)+INDEX(Kernels!$B$5:$D$7,3,1)*INDEX(Datos!$B$3:$K$12,($A22+1)+1,(B$15+1)+-1)+INDEX(Kernels!$B$5:$D$7,3,2)*INDEX(Datos!$B$3:$K$12,($A22+1)+1,(B$15+1)+0)+INDEX(Kernels!$B$5:$D$7,3,3)*INDEX(Datos!$B$3:$K$12,($A22+1)+1,(B$15+1)+1))/Kernels!$F$6,"")</f>
        <v/>
      </c>
      <c r="C22" s="9">
        <f>IF(AND($A22&gt;=1,$A22&lt;=8,C$15&gt;=1,C$15&lt;=8),(INDEX(Kernels!$B$5:$D$7,1,1)*INDEX(Datos!$B$3:$K$12,($A22+1)+-1,(C$15+1)+-1)+INDEX(Kernels!$B$5:$D$7,1,2)*INDEX(Datos!$B$3:$K$12,($A22+1)+-1,(C$15+1)+0)+INDEX(Kernels!$B$5:$D$7,1,3)*INDEX(Datos!$B$3:$K$12,($A22+1)+-1,(C$15+1)+1)+INDEX(Kernels!$B$5:$D$7,2,1)*INDEX(Datos!$B$3:$K$12,($A22+1)+0,(C$15+1)+-1)+INDEX(Kernels!$B$5:$D$7,2,2)*INDEX(Datos!$B$3:$K$12,($A22+1)+0,(C$15+1)+0)+INDEX(Kernels!$B$5:$D$7,2,3)*INDEX(Datos!$B$3:$K$12,($A22+1)+0,(C$15+1)+1)+INDEX(Kernels!$B$5:$D$7,3,1)*INDEX(Datos!$B$3:$K$12,($A22+1)+1,(C$15+1)+-1)+INDEX(Kernels!$B$5:$D$7,3,2)*INDEX(Datos!$B$3:$K$12,($A22+1)+1,(C$15+1)+0)+INDEX(Kernels!$B$5:$D$7,3,3)*INDEX(Datos!$B$3:$K$12,($A22+1)+1,(C$15+1)+1))/Kernels!$F$6,"")</f>
        <v>79.444444444444443</v>
      </c>
      <c r="D22" s="9">
        <f>IF(AND($A22&gt;=1,$A22&lt;=8,D$15&gt;=1,D$15&lt;=8),(INDEX(Kernels!$B$5:$D$7,1,1)*INDEX(Datos!$B$3:$K$12,($A22+1)+-1,(D$15+1)+-1)+INDEX(Kernels!$B$5:$D$7,1,2)*INDEX(Datos!$B$3:$K$12,($A22+1)+-1,(D$15+1)+0)+INDEX(Kernels!$B$5:$D$7,1,3)*INDEX(Datos!$B$3:$K$12,($A22+1)+-1,(D$15+1)+1)+INDEX(Kernels!$B$5:$D$7,2,1)*INDEX(Datos!$B$3:$K$12,($A22+1)+0,(D$15+1)+-1)+INDEX(Kernels!$B$5:$D$7,2,2)*INDEX(Datos!$B$3:$K$12,($A22+1)+0,(D$15+1)+0)+INDEX(Kernels!$B$5:$D$7,2,3)*INDEX(Datos!$B$3:$K$12,($A22+1)+0,(D$15+1)+1)+INDEX(Kernels!$B$5:$D$7,3,1)*INDEX(Datos!$B$3:$K$12,($A22+1)+1,(D$15+1)+-1)+INDEX(Kernels!$B$5:$D$7,3,2)*INDEX(Datos!$B$3:$K$12,($A22+1)+1,(D$15+1)+0)+INDEX(Kernels!$B$5:$D$7,3,3)*INDEX(Datos!$B$3:$K$12,($A22+1)+1,(D$15+1)+1))/Kernels!$F$6,"")</f>
        <v>85.777777777777771</v>
      </c>
      <c r="E22" s="9">
        <f>IF(AND($A22&gt;=1,$A22&lt;=8,E$15&gt;=1,E$15&lt;=8),(INDEX(Kernels!$B$5:$D$7,1,1)*INDEX(Datos!$B$3:$K$12,($A22+1)+-1,(E$15+1)+-1)+INDEX(Kernels!$B$5:$D$7,1,2)*INDEX(Datos!$B$3:$K$12,($A22+1)+-1,(E$15+1)+0)+INDEX(Kernels!$B$5:$D$7,1,3)*INDEX(Datos!$B$3:$K$12,($A22+1)+-1,(E$15+1)+1)+INDEX(Kernels!$B$5:$D$7,2,1)*INDEX(Datos!$B$3:$K$12,($A22+1)+0,(E$15+1)+-1)+INDEX(Kernels!$B$5:$D$7,2,2)*INDEX(Datos!$B$3:$K$12,($A22+1)+0,(E$15+1)+0)+INDEX(Kernels!$B$5:$D$7,2,3)*INDEX(Datos!$B$3:$K$12,($A22+1)+0,(E$15+1)+1)+INDEX(Kernels!$B$5:$D$7,3,1)*INDEX(Datos!$B$3:$K$12,($A22+1)+1,(E$15+1)+-1)+INDEX(Kernels!$B$5:$D$7,3,2)*INDEX(Datos!$B$3:$K$12,($A22+1)+1,(E$15+1)+0)+INDEX(Kernels!$B$5:$D$7,3,3)*INDEX(Datos!$B$3:$K$12,($A22+1)+1,(E$15+1)+1))/Kernels!$F$6,"")</f>
        <v>99.222222222222229</v>
      </c>
      <c r="F22" s="9">
        <f>IF(AND($A22&gt;=1,$A22&lt;=8,F$15&gt;=1,F$15&lt;=8),(INDEX(Kernels!$B$5:$D$7,1,1)*INDEX(Datos!$B$3:$K$12,($A22+1)+-1,(F$15+1)+-1)+INDEX(Kernels!$B$5:$D$7,1,2)*INDEX(Datos!$B$3:$K$12,($A22+1)+-1,(F$15+1)+0)+INDEX(Kernels!$B$5:$D$7,1,3)*INDEX(Datos!$B$3:$K$12,($A22+1)+-1,(F$15+1)+1)+INDEX(Kernels!$B$5:$D$7,2,1)*INDEX(Datos!$B$3:$K$12,($A22+1)+0,(F$15+1)+-1)+INDEX(Kernels!$B$5:$D$7,2,2)*INDEX(Datos!$B$3:$K$12,($A22+1)+0,(F$15+1)+0)+INDEX(Kernels!$B$5:$D$7,2,3)*INDEX(Datos!$B$3:$K$12,($A22+1)+0,(F$15+1)+1)+INDEX(Kernels!$B$5:$D$7,3,1)*INDEX(Datos!$B$3:$K$12,($A22+1)+1,(F$15+1)+-1)+INDEX(Kernels!$B$5:$D$7,3,2)*INDEX(Datos!$B$3:$K$12,($A22+1)+1,(F$15+1)+0)+INDEX(Kernels!$B$5:$D$7,3,3)*INDEX(Datos!$B$3:$K$12,($A22+1)+1,(F$15+1)+1))/Kernels!$F$6,"")</f>
        <v>111.44444444444444</v>
      </c>
      <c r="G22" s="9">
        <f>IF(AND($A22&gt;=1,$A22&lt;=8,G$15&gt;=1,G$15&lt;=8),(INDEX(Kernels!$B$5:$D$7,1,1)*INDEX(Datos!$B$3:$K$12,($A22+1)+-1,(G$15+1)+-1)+INDEX(Kernels!$B$5:$D$7,1,2)*INDEX(Datos!$B$3:$K$12,($A22+1)+-1,(G$15+1)+0)+INDEX(Kernels!$B$5:$D$7,1,3)*INDEX(Datos!$B$3:$K$12,($A22+1)+-1,(G$15+1)+1)+INDEX(Kernels!$B$5:$D$7,2,1)*INDEX(Datos!$B$3:$K$12,($A22+1)+0,(G$15+1)+-1)+INDEX(Kernels!$B$5:$D$7,2,2)*INDEX(Datos!$B$3:$K$12,($A22+1)+0,(G$15+1)+0)+INDEX(Kernels!$B$5:$D$7,2,3)*INDEX(Datos!$B$3:$K$12,($A22+1)+0,(G$15+1)+1)+INDEX(Kernels!$B$5:$D$7,3,1)*INDEX(Datos!$B$3:$K$12,($A22+1)+1,(G$15+1)+-1)+INDEX(Kernels!$B$5:$D$7,3,2)*INDEX(Datos!$B$3:$K$12,($A22+1)+1,(G$15+1)+0)+INDEX(Kernels!$B$5:$D$7,3,3)*INDEX(Datos!$B$3:$K$12,($A22+1)+1,(G$15+1)+1))/Kernels!$F$6,"")</f>
        <v>119</v>
      </c>
      <c r="H22" s="9">
        <f>IF(AND($A22&gt;=1,$A22&lt;=8,H$15&gt;=1,H$15&lt;=8),(INDEX(Kernels!$B$5:$D$7,1,1)*INDEX(Datos!$B$3:$K$12,($A22+1)+-1,(H$15+1)+-1)+INDEX(Kernels!$B$5:$D$7,1,2)*INDEX(Datos!$B$3:$K$12,($A22+1)+-1,(H$15+1)+0)+INDEX(Kernels!$B$5:$D$7,1,3)*INDEX(Datos!$B$3:$K$12,($A22+1)+-1,(H$15+1)+1)+INDEX(Kernels!$B$5:$D$7,2,1)*INDEX(Datos!$B$3:$K$12,($A22+1)+0,(H$15+1)+-1)+INDEX(Kernels!$B$5:$D$7,2,2)*INDEX(Datos!$B$3:$K$12,($A22+1)+0,(H$15+1)+0)+INDEX(Kernels!$B$5:$D$7,2,3)*INDEX(Datos!$B$3:$K$12,($A22+1)+0,(H$15+1)+1)+INDEX(Kernels!$B$5:$D$7,3,1)*INDEX(Datos!$B$3:$K$12,($A22+1)+1,(H$15+1)+-1)+INDEX(Kernels!$B$5:$D$7,3,2)*INDEX(Datos!$B$3:$K$12,($A22+1)+1,(H$15+1)+0)+INDEX(Kernels!$B$5:$D$7,3,3)*INDEX(Datos!$B$3:$K$12,($A22+1)+1,(H$15+1)+1))/Kernels!$F$6,"")</f>
        <v>125.88888888888889</v>
      </c>
      <c r="I22" s="9">
        <f>IF(AND($A22&gt;=1,$A22&lt;=8,I$15&gt;=1,I$15&lt;=8),(INDEX(Kernels!$B$5:$D$7,1,1)*INDEX(Datos!$B$3:$K$12,($A22+1)+-1,(I$15+1)+-1)+INDEX(Kernels!$B$5:$D$7,1,2)*INDEX(Datos!$B$3:$K$12,($A22+1)+-1,(I$15+1)+0)+INDEX(Kernels!$B$5:$D$7,1,3)*INDEX(Datos!$B$3:$K$12,($A22+1)+-1,(I$15+1)+1)+INDEX(Kernels!$B$5:$D$7,2,1)*INDEX(Datos!$B$3:$K$12,($A22+1)+0,(I$15+1)+-1)+INDEX(Kernels!$B$5:$D$7,2,2)*INDEX(Datos!$B$3:$K$12,($A22+1)+0,(I$15+1)+0)+INDEX(Kernels!$B$5:$D$7,2,3)*INDEX(Datos!$B$3:$K$12,($A22+1)+0,(I$15+1)+1)+INDEX(Kernels!$B$5:$D$7,3,1)*INDEX(Datos!$B$3:$K$12,($A22+1)+1,(I$15+1)+-1)+INDEX(Kernels!$B$5:$D$7,3,2)*INDEX(Datos!$B$3:$K$12,($A22+1)+1,(I$15+1)+0)+INDEX(Kernels!$B$5:$D$7,3,3)*INDEX(Datos!$B$3:$K$12,($A22+1)+1,(I$15+1)+1))/Kernels!$F$6,"")</f>
        <v>132.22222222222223</v>
      </c>
      <c r="J22" s="9">
        <f>IF(AND($A22&gt;=1,$A22&lt;=8,J$15&gt;=1,J$15&lt;=8),(INDEX(Kernels!$B$5:$D$7,1,1)*INDEX(Datos!$B$3:$K$12,($A22+1)+-1,(J$15+1)+-1)+INDEX(Kernels!$B$5:$D$7,1,2)*INDEX(Datos!$B$3:$K$12,($A22+1)+-1,(J$15+1)+0)+INDEX(Kernels!$B$5:$D$7,1,3)*INDEX(Datos!$B$3:$K$12,($A22+1)+-1,(J$15+1)+1)+INDEX(Kernels!$B$5:$D$7,2,1)*INDEX(Datos!$B$3:$K$12,($A22+1)+0,(J$15+1)+-1)+INDEX(Kernels!$B$5:$D$7,2,2)*INDEX(Datos!$B$3:$K$12,($A22+1)+0,(J$15+1)+0)+INDEX(Kernels!$B$5:$D$7,2,3)*INDEX(Datos!$B$3:$K$12,($A22+1)+0,(J$15+1)+1)+INDEX(Kernels!$B$5:$D$7,3,1)*INDEX(Datos!$B$3:$K$12,($A22+1)+1,(J$15+1)+-1)+INDEX(Kernels!$B$5:$D$7,3,2)*INDEX(Datos!$B$3:$K$12,($A22+1)+1,(J$15+1)+0)+INDEX(Kernels!$B$5:$D$7,3,3)*INDEX(Datos!$B$3:$K$12,($A22+1)+1,(J$15+1)+1))/Kernels!$F$6,"")</f>
        <v>130.33333333333334</v>
      </c>
      <c r="K22" s="9" t="str">
        <f>IF(AND($A22&gt;=1,$A22&lt;=8,K$15&gt;=1,K$15&lt;=8),(INDEX(Kernels!$B$5:$D$7,1,1)*INDEX(Datos!$B$3:$K$12,($A22+1)+-1,(K$15+1)+-1)+INDEX(Kernels!$B$5:$D$7,1,2)*INDEX(Datos!$B$3:$K$12,($A22+1)+-1,(K$15+1)+0)+INDEX(Kernels!$B$5:$D$7,1,3)*INDEX(Datos!$B$3:$K$12,($A22+1)+-1,(K$15+1)+1)+INDEX(Kernels!$B$5:$D$7,2,1)*INDEX(Datos!$B$3:$K$12,($A22+1)+0,(K$15+1)+-1)+INDEX(Kernels!$B$5:$D$7,2,2)*INDEX(Datos!$B$3:$K$12,($A22+1)+0,(K$15+1)+0)+INDEX(Kernels!$B$5:$D$7,2,3)*INDEX(Datos!$B$3:$K$12,($A22+1)+0,(K$15+1)+1)+INDEX(Kernels!$B$5:$D$7,3,1)*INDEX(Datos!$B$3:$K$12,($A22+1)+1,(K$15+1)+-1)+INDEX(Kernels!$B$5:$D$7,3,2)*INDEX(Datos!$B$3:$K$12,($A22+1)+1,(K$15+1)+0)+INDEX(Kernels!$B$5:$D$7,3,3)*INDEX(Datos!$B$3:$K$12,($A22+1)+1,(K$15+1)+1))/Kernels!$F$6,"")</f>
        <v/>
      </c>
    </row>
    <row r="23" spans="1:11" ht="24" customHeight="1" x14ac:dyDescent="0.2">
      <c r="A23" s="10">
        <v>7</v>
      </c>
      <c r="B23" s="9" t="str">
        <f>IF(AND($A23&gt;=1,$A23&lt;=8,B$15&gt;=1,B$15&lt;=8),(INDEX(Kernels!$B$5:$D$7,1,1)*INDEX(Datos!$B$3:$K$12,($A23+1)+-1,(B$15+1)+-1)+INDEX(Kernels!$B$5:$D$7,1,2)*INDEX(Datos!$B$3:$K$12,($A23+1)+-1,(B$15+1)+0)+INDEX(Kernels!$B$5:$D$7,1,3)*INDEX(Datos!$B$3:$K$12,($A23+1)+-1,(B$15+1)+1)+INDEX(Kernels!$B$5:$D$7,2,1)*INDEX(Datos!$B$3:$K$12,($A23+1)+0,(B$15+1)+-1)+INDEX(Kernels!$B$5:$D$7,2,2)*INDEX(Datos!$B$3:$K$12,($A23+1)+0,(B$15+1)+0)+INDEX(Kernels!$B$5:$D$7,2,3)*INDEX(Datos!$B$3:$K$12,($A23+1)+0,(B$15+1)+1)+INDEX(Kernels!$B$5:$D$7,3,1)*INDEX(Datos!$B$3:$K$12,($A23+1)+1,(B$15+1)+-1)+INDEX(Kernels!$B$5:$D$7,3,2)*INDEX(Datos!$B$3:$K$12,($A23+1)+1,(B$15+1)+0)+INDEX(Kernels!$B$5:$D$7,3,3)*INDEX(Datos!$B$3:$K$12,($A23+1)+1,(B$15+1)+1))/Kernels!$F$6,"")</f>
        <v/>
      </c>
      <c r="C23" s="9">
        <f>IF(AND($A23&gt;=1,$A23&lt;=8,C$15&gt;=1,C$15&lt;=8),(INDEX(Kernels!$B$5:$D$7,1,1)*INDEX(Datos!$B$3:$K$12,($A23+1)+-1,(C$15+1)+-1)+INDEX(Kernels!$B$5:$D$7,1,2)*INDEX(Datos!$B$3:$K$12,($A23+1)+-1,(C$15+1)+0)+INDEX(Kernels!$B$5:$D$7,1,3)*INDEX(Datos!$B$3:$K$12,($A23+1)+-1,(C$15+1)+1)+INDEX(Kernels!$B$5:$D$7,2,1)*INDEX(Datos!$B$3:$K$12,($A23+1)+0,(C$15+1)+-1)+INDEX(Kernels!$B$5:$D$7,2,2)*INDEX(Datos!$B$3:$K$12,($A23+1)+0,(C$15+1)+0)+INDEX(Kernels!$B$5:$D$7,2,3)*INDEX(Datos!$B$3:$K$12,($A23+1)+0,(C$15+1)+1)+INDEX(Kernels!$B$5:$D$7,3,1)*INDEX(Datos!$B$3:$K$12,($A23+1)+1,(C$15+1)+-1)+INDEX(Kernels!$B$5:$D$7,3,2)*INDEX(Datos!$B$3:$K$12,($A23+1)+1,(C$15+1)+0)+INDEX(Kernels!$B$5:$D$7,3,3)*INDEX(Datos!$B$3:$K$12,($A23+1)+1,(C$15+1)+1))/Kernels!$F$6,"")</f>
        <v>68</v>
      </c>
      <c r="D23" s="9">
        <f>IF(AND($A23&gt;=1,$A23&lt;=8,D$15&gt;=1,D$15&lt;=8),(INDEX(Kernels!$B$5:$D$7,1,1)*INDEX(Datos!$B$3:$K$12,($A23+1)+-1,(D$15+1)+-1)+INDEX(Kernels!$B$5:$D$7,1,2)*INDEX(Datos!$B$3:$K$12,($A23+1)+-1,(D$15+1)+0)+INDEX(Kernels!$B$5:$D$7,1,3)*INDEX(Datos!$B$3:$K$12,($A23+1)+-1,(D$15+1)+1)+INDEX(Kernels!$B$5:$D$7,2,1)*INDEX(Datos!$B$3:$K$12,($A23+1)+0,(D$15+1)+-1)+INDEX(Kernels!$B$5:$D$7,2,2)*INDEX(Datos!$B$3:$K$12,($A23+1)+0,(D$15+1)+0)+INDEX(Kernels!$B$5:$D$7,2,3)*INDEX(Datos!$B$3:$K$12,($A23+1)+0,(D$15+1)+1)+INDEX(Kernels!$B$5:$D$7,3,1)*INDEX(Datos!$B$3:$K$12,($A23+1)+1,(D$15+1)+-1)+INDEX(Kernels!$B$5:$D$7,3,2)*INDEX(Datos!$B$3:$K$12,($A23+1)+1,(D$15+1)+0)+INDEX(Kernels!$B$5:$D$7,3,3)*INDEX(Datos!$B$3:$K$12,($A23+1)+1,(D$15+1)+1))/Kernels!$F$6,"")</f>
        <v>80.111111111111114</v>
      </c>
      <c r="E23" s="9">
        <f>IF(AND($A23&gt;=1,$A23&lt;=8,E$15&gt;=1,E$15&lt;=8),(INDEX(Kernels!$B$5:$D$7,1,1)*INDEX(Datos!$B$3:$K$12,($A23+1)+-1,(E$15+1)+-1)+INDEX(Kernels!$B$5:$D$7,1,2)*INDEX(Datos!$B$3:$K$12,($A23+1)+-1,(E$15+1)+0)+INDEX(Kernels!$B$5:$D$7,1,3)*INDEX(Datos!$B$3:$K$12,($A23+1)+-1,(E$15+1)+1)+INDEX(Kernels!$B$5:$D$7,2,1)*INDEX(Datos!$B$3:$K$12,($A23+1)+0,(E$15+1)+-1)+INDEX(Kernels!$B$5:$D$7,2,2)*INDEX(Datos!$B$3:$K$12,($A23+1)+0,(E$15+1)+0)+INDEX(Kernels!$B$5:$D$7,2,3)*INDEX(Datos!$B$3:$K$12,($A23+1)+0,(E$15+1)+1)+INDEX(Kernels!$B$5:$D$7,3,1)*INDEX(Datos!$B$3:$K$12,($A23+1)+1,(E$15+1)+-1)+INDEX(Kernels!$B$5:$D$7,3,2)*INDEX(Datos!$B$3:$K$12,($A23+1)+1,(E$15+1)+0)+INDEX(Kernels!$B$5:$D$7,3,3)*INDEX(Datos!$B$3:$K$12,($A23+1)+1,(E$15+1)+1))/Kernels!$F$6,"")</f>
        <v>96.666666666666671</v>
      </c>
      <c r="F23" s="9">
        <f>IF(AND($A23&gt;=1,$A23&lt;=8,F$15&gt;=1,F$15&lt;=8),(INDEX(Kernels!$B$5:$D$7,1,1)*INDEX(Datos!$B$3:$K$12,($A23+1)+-1,(F$15+1)+-1)+INDEX(Kernels!$B$5:$D$7,1,2)*INDEX(Datos!$B$3:$K$12,($A23+1)+-1,(F$15+1)+0)+INDEX(Kernels!$B$5:$D$7,1,3)*INDEX(Datos!$B$3:$K$12,($A23+1)+-1,(F$15+1)+1)+INDEX(Kernels!$B$5:$D$7,2,1)*INDEX(Datos!$B$3:$K$12,($A23+1)+0,(F$15+1)+-1)+INDEX(Kernels!$B$5:$D$7,2,2)*INDEX(Datos!$B$3:$K$12,($A23+1)+0,(F$15+1)+0)+INDEX(Kernels!$B$5:$D$7,2,3)*INDEX(Datos!$B$3:$K$12,($A23+1)+0,(F$15+1)+1)+INDEX(Kernels!$B$5:$D$7,3,1)*INDEX(Datos!$B$3:$K$12,($A23+1)+1,(F$15+1)+-1)+INDEX(Kernels!$B$5:$D$7,3,2)*INDEX(Datos!$B$3:$K$12,($A23+1)+1,(F$15+1)+0)+INDEX(Kernels!$B$5:$D$7,3,3)*INDEX(Datos!$B$3:$K$12,($A23+1)+1,(F$15+1)+1))/Kernels!$F$6,"")</f>
        <v>107.44444444444444</v>
      </c>
      <c r="G23" s="9">
        <f>IF(AND($A23&gt;=1,$A23&lt;=8,G$15&gt;=1,G$15&lt;=8),(INDEX(Kernels!$B$5:$D$7,1,1)*INDEX(Datos!$B$3:$K$12,($A23+1)+-1,(G$15+1)+-1)+INDEX(Kernels!$B$5:$D$7,1,2)*INDEX(Datos!$B$3:$K$12,($A23+1)+-1,(G$15+1)+0)+INDEX(Kernels!$B$5:$D$7,1,3)*INDEX(Datos!$B$3:$K$12,($A23+1)+-1,(G$15+1)+1)+INDEX(Kernels!$B$5:$D$7,2,1)*INDEX(Datos!$B$3:$K$12,($A23+1)+0,(G$15+1)+-1)+INDEX(Kernels!$B$5:$D$7,2,2)*INDEX(Datos!$B$3:$K$12,($A23+1)+0,(G$15+1)+0)+INDEX(Kernels!$B$5:$D$7,2,3)*INDEX(Datos!$B$3:$K$12,($A23+1)+0,(G$15+1)+1)+INDEX(Kernels!$B$5:$D$7,3,1)*INDEX(Datos!$B$3:$K$12,($A23+1)+1,(G$15+1)+-1)+INDEX(Kernels!$B$5:$D$7,3,2)*INDEX(Datos!$B$3:$K$12,($A23+1)+1,(G$15+1)+0)+INDEX(Kernels!$B$5:$D$7,3,3)*INDEX(Datos!$B$3:$K$12,($A23+1)+1,(G$15+1)+1))/Kernels!$F$6,"")</f>
        <v>111.88888888888889</v>
      </c>
      <c r="H23" s="9">
        <f>IF(AND($A23&gt;=1,$A23&lt;=8,H$15&gt;=1,H$15&lt;=8),(INDEX(Kernels!$B$5:$D$7,1,1)*INDEX(Datos!$B$3:$K$12,($A23+1)+-1,(H$15+1)+-1)+INDEX(Kernels!$B$5:$D$7,1,2)*INDEX(Datos!$B$3:$K$12,($A23+1)+-1,(H$15+1)+0)+INDEX(Kernels!$B$5:$D$7,1,3)*INDEX(Datos!$B$3:$K$12,($A23+1)+-1,(H$15+1)+1)+INDEX(Kernels!$B$5:$D$7,2,1)*INDEX(Datos!$B$3:$K$12,($A23+1)+0,(H$15+1)+-1)+INDEX(Kernels!$B$5:$D$7,2,2)*INDEX(Datos!$B$3:$K$12,($A23+1)+0,(H$15+1)+0)+INDEX(Kernels!$B$5:$D$7,2,3)*INDEX(Datos!$B$3:$K$12,($A23+1)+0,(H$15+1)+1)+INDEX(Kernels!$B$5:$D$7,3,1)*INDEX(Datos!$B$3:$K$12,($A23+1)+1,(H$15+1)+-1)+INDEX(Kernels!$B$5:$D$7,3,2)*INDEX(Datos!$B$3:$K$12,($A23+1)+1,(H$15+1)+0)+INDEX(Kernels!$B$5:$D$7,3,3)*INDEX(Datos!$B$3:$K$12,($A23+1)+1,(H$15+1)+1))/Kernels!$F$6,"")</f>
        <v>120.22222222222223</v>
      </c>
      <c r="I23" s="9">
        <f>IF(AND($A23&gt;=1,$A23&lt;=8,I$15&gt;=1,I$15&lt;=8),(INDEX(Kernels!$B$5:$D$7,1,1)*INDEX(Datos!$B$3:$K$12,($A23+1)+-1,(I$15+1)+-1)+INDEX(Kernels!$B$5:$D$7,1,2)*INDEX(Datos!$B$3:$K$12,($A23+1)+-1,(I$15+1)+0)+INDEX(Kernels!$B$5:$D$7,1,3)*INDEX(Datos!$B$3:$K$12,($A23+1)+-1,(I$15+1)+1)+INDEX(Kernels!$B$5:$D$7,2,1)*INDEX(Datos!$B$3:$K$12,($A23+1)+0,(I$15+1)+-1)+INDEX(Kernels!$B$5:$D$7,2,2)*INDEX(Datos!$B$3:$K$12,($A23+1)+0,(I$15+1)+0)+INDEX(Kernels!$B$5:$D$7,2,3)*INDEX(Datos!$B$3:$K$12,($A23+1)+0,(I$15+1)+1)+INDEX(Kernels!$B$5:$D$7,3,1)*INDEX(Datos!$B$3:$K$12,($A23+1)+1,(I$15+1)+-1)+INDEX(Kernels!$B$5:$D$7,3,2)*INDEX(Datos!$B$3:$K$12,($A23+1)+1,(I$15+1)+0)+INDEX(Kernels!$B$5:$D$7,3,3)*INDEX(Datos!$B$3:$K$12,($A23+1)+1,(I$15+1)+1))/Kernels!$F$6,"")</f>
        <v>129</v>
      </c>
      <c r="J23" s="9">
        <f>IF(AND($A23&gt;=1,$A23&lt;=8,J$15&gt;=1,J$15&lt;=8),(INDEX(Kernels!$B$5:$D$7,1,1)*INDEX(Datos!$B$3:$K$12,($A23+1)+-1,(J$15+1)+-1)+INDEX(Kernels!$B$5:$D$7,1,2)*INDEX(Datos!$B$3:$K$12,($A23+1)+-1,(J$15+1)+0)+INDEX(Kernels!$B$5:$D$7,1,3)*INDEX(Datos!$B$3:$K$12,($A23+1)+-1,(J$15+1)+1)+INDEX(Kernels!$B$5:$D$7,2,1)*INDEX(Datos!$B$3:$K$12,($A23+1)+0,(J$15+1)+-1)+INDEX(Kernels!$B$5:$D$7,2,2)*INDEX(Datos!$B$3:$K$12,($A23+1)+0,(J$15+1)+0)+INDEX(Kernels!$B$5:$D$7,2,3)*INDEX(Datos!$B$3:$K$12,($A23+1)+0,(J$15+1)+1)+INDEX(Kernels!$B$5:$D$7,3,1)*INDEX(Datos!$B$3:$K$12,($A23+1)+1,(J$15+1)+-1)+INDEX(Kernels!$B$5:$D$7,3,2)*INDEX(Datos!$B$3:$K$12,($A23+1)+1,(J$15+1)+0)+INDEX(Kernels!$B$5:$D$7,3,3)*INDEX(Datos!$B$3:$K$12,($A23+1)+1,(J$15+1)+1))/Kernels!$F$6,"")</f>
        <v>127.44444444444444</v>
      </c>
      <c r="K23" s="9" t="str">
        <f>IF(AND($A23&gt;=1,$A23&lt;=8,K$15&gt;=1,K$15&lt;=8),(INDEX(Kernels!$B$5:$D$7,1,1)*INDEX(Datos!$B$3:$K$12,($A23+1)+-1,(K$15+1)+-1)+INDEX(Kernels!$B$5:$D$7,1,2)*INDEX(Datos!$B$3:$K$12,($A23+1)+-1,(K$15+1)+0)+INDEX(Kernels!$B$5:$D$7,1,3)*INDEX(Datos!$B$3:$K$12,($A23+1)+-1,(K$15+1)+1)+INDEX(Kernels!$B$5:$D$7,2,1)*INDEX(Datos!$B$3:$K$12,($A23+1)+0,(K$15+1)+-1)+INDEX(Kernels!$B$5:$D$7,2,2)*INDEX(Datos!$B$3:$K$12,($A23+1)+0,(K$15+1)+0)+INDEX(Kernels!$B$5:$D$7,2,3)*INDEX(Datos!$B$3:$K$12,($A23+1)+0,(K$15+1)+1)+INDEX(Kernels!$B$5:$D$7,3,1)*INDEX(Datos!$B$3:$K$12,($A23+1)+1,(K$15+1)+-1)+INDEX(Kernels!$B$5:$D$7,3,2)*INDEX(Datos!$B$3:$K$12,($A23+1)+1,(K$15+1)+0)+INDEX(Kernels!$B$5:$D$7,3,3)*INDEX(Datos!$B$3:$K$12,($A23+1)+1,(K$15+1)+1))/Kernels!$F$6,"")</f>
        <v/>
      </c>
    </row>
    <row r="24" spans="1:11" ht="24" customHeight="1" x14ac:dyDescent="0.2">
      <c r="A24" s="10">
        <v>8</v>
      </c>
      <c r="B24" s="9" t="str">
        <f>IF(AND($A24&gt;=1,$A24&lt;=8,B$15&gt;=1,B$15&lt;=8),(INDEX(Kernels!$B$5:$D$7,1,1)*INDEX(Datos!$B$3:$K$12,($A24+1)+-1,(B$15+1)+-1)+INDEX(Kernels!$B$5:$D$7,1,2)*INDEX(Datos!$B$3:$K$12,($A24+1)+-1,(B$15+1)+0)+INDEX(Kernels!$B$5:$D$7,1,3)*INDEX(Datos!$B$3:$K$12,($A24+1)+-1,(B$15+1)+1)+INDEX(Kernels!$B$5:$D$7,2,1)*INDEX(Datos!$B$3:$K$12,($A24+1)+0,(B$15+1)+-1)+INDEX(Kernels!$B$5:$D$7,2,2)*INDEX(Datos!$B$3:$K$12,($A24+1)+0,(B$15+1)+0)+INDEX(Kernels!$B$5:$D$7,2,3)*INDEX(Datos!$B$3:$K$12,($A24+1)+0,(B$15+1)+1)+INDEX(Kernels!$B$5:$D$7,3,1)*INDEX(Datos!$B$3:$K$12,($A24+1)+1,(B$15+1)+-1)+INDEX(Kernels!$B$5:$D$7,3,2)*INDEX(Datos!$B$3:$K$12,($A24+1)+1,(B$15+1)+0)+INDEX(Kernels!$B$5:$D$7,3,3)*INDEX(Datos!$B$3:$K$12,($A24+1)+1,(B$15+1)+1))/Kernels!$F$6,"")</f>
        <v/>
      </c>
      <c r="C24" s="9">
        <f>IF(AND($A24&gt;=1,$A24&lt;=8,C$15&gt;=1,C$15&lt;=8),(INDEX(Kernels!$B$5:$D$7,1,1)*INDEX(Datos!$B$3:$K$12,($A24+1)+-1,(C$15+1)+-1)+INDEX(Kernels!$B$5:$D$7,1,2)*INDEX(Datos!$B$3:$K$12,($A24+1)+-1,(C$15+1)+0)+INDEX(Kernels!$B$5:$D$7,1,3)*INDEX(Datos!$B$3:$K$12,($A24+1)+-1,(C$15+1)+1)+INDEX(Kernels!$B$5:$D$7,2,1)*INDEX(Datos!$B$3:$K$12,($A24+1)+0,(C$15+1)+-1)+INDEX(Kernels!$B$5:$D$7,2,2)*INDEX(Datos!$B$3:$K$12,($A24+1)+0,(C$15+1)+0)+INDEX(Kernels!$B$5:$D$7,2,3)*INDEX(Datos!$B$3:$K$12,($A24+1)+0,(C$15+1)+1)+INDEX(Kernels!$B$5:$D$7,3,1)*INDEX(Datos!$B$3:$K$12,($A24+1)+1,(C$15+1)+-1)+INDEX(Kernels!$B$5:$D$7,3,2)*INDEX(Datos!$B$3:$K$12,($A24+1)+1,(C$15+1)+0)+INDEX(Kernels!$B$5:$D$7,3,3)*INDEX(Datos!$B$3:$K$12,($A24+1)+1,(C$15+1)+1))/Kernels!$F$6,"")</f>
        <v>71.888888888888886</v>
      </c>
      <c r="D24" s="9">
        <f>IF(AND($A24&gt;=1,$A24&lt;=8,D$15&gt;=1,D$15&lt;=8),(INDEX(Kernels!$B$5:$D$7,1,1)*INDEX(Datos!$B$3:$K$12,($A24+1)+-1,(D$15+1)+-1)+INDEX(Kernels!$B$5:$D$7,1,2)*INDEX(Datos!$B$3:$K$12,($A24+1)+-1,(D$15+1)+0)+INDEX(Kernels!$B$5:$D$7,1,3)*INDEX(Datos!$B$3:$K$12,($A24+1)+-1,(D$15+1)+1)+INDEX(Kernels!$B$5:$D$7,2,1)*INDEX(Datos!$B$3:$K$12,($A24+1)+0,(D$15+1)+-1)+INDEX(Kernels!$B$5:$D$7,2,2)*INDEX(Datos!$B$3:$K$12,($A24+1)+0,(D$15+1)+0)+INDEX(Kernels!$B$5:$D$7,2,3)*INDEX(Datos!$B$3:$K$12,($A24+1)+0,(D$15+1)+1)+INDEX(Kernels!$B$5:$D$7,3,1)*INDEX(Datos!$B$3:$K$12,($A24+1)+1,(D$15+1)+-1)+INDEX(Kernels!$B$5:$D$7,3,2)*INDEX(Datos!$B$3:$K$12,($A24+1)+1,(D$15+1)+0)+INDEX(Kernels!$B$5:$D$7,3,3)*INDEX(Datos!$B$3:$K$12,($A24+1)+1,(D$15+1)+1))/Kernels!$F$6,"")</f>
        <v>77.666666666666671</v>
      </c>
      <c r="E24" s="9">
        <f>IF(AND($A24&gt;=1,$A24&lt;=8,E$15&gt;=1,E$15&lt;=8),(INDEX(Kernels!$B$5:$D$7,1,1)*INDEX(Datos!$B$3:$K$12,($A24+1)+-1,(E$15+1)+-1)+INDEX(Kernels!$B$5:$D$7,1,2)*INDEX(Datos!$B$3:$K$12,($A24+1)+-1,(E$15+1)+0)+INDEX(Kernels!$B$5:$D$7,1,3)*INDEX(Datos!$B$3:$K$12,($A24+1)+-1,(E$15+1)+1)+INDEX(Kernels!$B$5:$D$7,2,1)*INDEX(Datos!$B$3:$K$12,($A24+1)+0,(E$15+1)+-1)+INDEX(Kernels!$B$5:$D$7,2,2)*INDEX(Datos!$B$3:$K$12,($A24+1)+0,(E$15+1)+0)+INDEX(Kernels!$B$5:$D$7,2,3)*INDEX(Datos!$B$3:$K$12,($A24+1)+0,(E$15+1)+1)+INDEX(Kernels!$B$5:$D$7,3,1)*INDEX(Datos!$B$3:$K$12,($A24+1)+1,(E$15+1)+-1)+INDEX(Kernels!$B$5:$D$7,3,2)*INDEX(Datos!$B$3:$K$12,($A24+1)+1,(E$15+1)+0)+INDEX(Kernels!$B$5:$D$7,3,3)*INDEX(Datos!$B$3:$K$12,($A24+1)+1,(E$15+1)+1))/Kernels!$F$6,"")</f>
        <v>84.666666666666671</v>
      </c>
      <c r="F24" s="9">
        <f>IF(AND($A24&gt;=1,$A24&lt;=8,F$15&gt;=1,F$15&lt;=8),(INDEX(Kernels!$B$5:$D$7,1,1)*INDEX(Datos!$B$3:$K$12,($A24+1)+-1,(F$15+1)+-1)+INDEX(Kernels!$B$5:$D$7,1,2)*INDEX(Datos!$B$3:$K$12,($A24+1)+-1,(F$15+1)+0)+INDEX(Kernels!$B$5:$D$7,1,3)*INDEX(Datos!$B$3:$K$12,($A24+1)+-1,(F$15+1)+1)+INDEX(Kernels!$B$5:$D$7,2,1)*INDEX(Datos!$B$3:$K$12,($A24+1)+0,(F$15+1)+-1)+INDEX(Kernels!$B$5:$D$7,2,2)*INDEX(Datos!$B$3:$K$12,($A24+1)+0,(F$15+1)+0)+INDEX(Kernels!$B$5:$D$7,2,3)*INDEX(Datos!$B$3:$K$12,($A24+1)+0,(F$15+1)+1)+INDEX(Kernels!$B$5:$D$7,3,1)*INDEX(Datos!$B$3:$K$12,($A24+1)+1,(F$15+1)+-1)+INDEX(Kernels!$B$5:$D$7,3,2)*INDEX(Datos!$B$3:$K$12,($A24+1)+1,(F$15+1)+0)+INDEX(Kernels!$B$5:$D$7,3,3)*INDEX(Datos!$B$3:$K$12,($A24+1)+1,(F$15+1)+1))/Kernels!$F$6,"")</f>
        <v>89.888888888888886</v>
      </c>
      <c r="G24" s="9">
        <f>IF(AND($A24&gt;=1,$A24&lt;=8,G$15&gt;=1,G$15&lt;=8),(INDEX(Kernels!$B$5:$D$7,1,1)*INDEX(Datos!$B$3:$K$12,($A24+1)+-1,(G$15+1)+-1)+INDEX(Kernels!$B$5:$D$7,1,2)*INDEX(Datos!$B$3:$K$12,($A24+1)+-1,(G$15+1)+0)+INDEX(Kernels!$B$5:$D$7,1,3)*INDEX(Datos!$B$3:$K$12,($A24+1)+-1,(G$15+1)+1)+INDEX(Kernels!$B$5:$D$7,2,1)*INDEX(Datos!$B$3:$K$12,($A24+1)+0,(G$15+1)+-1)+INDEX(Kernels!$B$5:$D$7,2,2)*INDEX(Datos!$B$3:$K$12,($A24+1)+0,(G$15+1)+0)+INDEX(Kernels!$B$5:$D$7,2,3)*INDEX(Datos!$B$3:$K$12,($A24+1)+0,(G$15+1)+1)+INDEX(Kernels!$B$5:$D$7,3,1)*INDEX(Datos!$B$3:$K$12,($A24+1)+1,(G$15+1)+-1)+INDEX(Kernels!$B$5:$D$7,3,2)*INDEX(Datos!$B$3:$K$12,($A24+1)+1,(G$15+1)+0)+INDEX(Kernels!$B$5:$D$7,3,3)*INDEX(Datos!$B$3:$K$12,($A24+1)+1,(G$15+1)+1))/Kernels!$F$6,"")</f>
        <v>96.555555555555557</v>
      </c>
      <c r="H24" s="9">
        <f>IF(AND($A24&gt;=1,$A24&lt;=8,H$15&gt;=1,H$15&lt;=8),(INDEX(Kernels!$B$5:$D$7,1,1)*INDEX(Datos!$B$3:$K$12,($A24+1)+-1,(H$15+1)+-1)+INDEX(Kernels!$B$5:$D$7,1,2)*INDEX(Datos!$B$3:$K$12,($A24+1)+-1,(H$15+1)+0)+INDEX(Kernels!$B$5:$D$7,1,3)*INDEX(Datos!$B$3:$K$12,($A24+1)+-1,(H$15+1)+1)+INDEX(Kernels!$B$5:$D$7,2,1)*INDEX(Datos!$B$3:$K$12,($A24+1)+0,(H$15+1)+-1)+INDEX(Kernels!$B$5:$D$7,2,2)*INDEX(Datos!$B$3:$K$12,($A24+1)+0,(H$15+1)+0)+INDEX(Kernels!$B$5:$D$7,2,3)*INDEX(Datos!$B$3:$K$12,($A24+1)+0,(H$15+1)+1)+INDEX(Kernels!$B$5:$D$7,3,1)*INDEX(Datos!$B$3:$K$12,($A24+1)+1,(H$15+1)+-1)+INDEX(Kernels!$B$5:$D$7,3,2)*INDEX(Datos!$B$3:$K$12,($A24+1)+1,(H$15+1)+0)+INDEX(Kernels!$B$5:$D$7,3,3)*INDEX(Datos!$B$3:$K$12,($A24+1)+1,(H$15+1)+1))/Kernels!$F$6,"")</f>
        <v>112.66666666666667</v>
      </c>
      <c r="I24" s="9">
        <f>IF(AND($A24&gt;=1,$A24&lt;=8,I$15&gt;=1,I$15&lt;=8),(INDEX(Kernels!$B$5:$D$7,1,1)*INDEX(Datos!$B$3:$K$12,($A24+1)+-1,(I$15+1)+-1)+INDEX(Kernels!$B$5:$D$7,1,2)*INDEX(Datos!$B$3:$K$12,($A24+1)+-1,(I$15+1)+0)+INDEX(Kernels!$B$5:$D$7,1,3)*INDEX(Datos!$B$3:$K$12,($A24+1)+-1,(I$15+1)+1)+INDEX(Kernels!$B$5:$D$7,2,1)*INDEX(Datos!$B$3:$K$12,($A24+1)+0,(I$15+1)+-1)+INDEX(Kernels!$B$5:$D$7,2,2)*INDEX(Datos!$B$3:$K$12,($A24+1)+0,(I$15+1)+0)+INDEX(Kernels!$B$5:$D$7,2,3)*INDEX(Datos!$B$3:$K$12,($A24+1)+0,(I$15+1)+1)+INDEX(Kernels!$B$5:$D$7,3,1)*INDEX(Datos!$B$3:$K$12,($A24+1)+1,(I$15+1)+-1)+INDEX(Kernels!$B$5:$D$7,3,2)*INDEX(Datos!$B$3:$K$12,($A24+1)+1,(I$15+1)+0)+INDEX(Kernels!$B$5:$D$7,3,3)*INDEX(Datos!$B$3:$K$12,($A24+1)+1,(I$15+1)+1))/Kernels!$F$6,"")</f>
        <v>124.44444444444444</v>
      </c>
      <c r="J24" s="9">
        <f>IF(AND($A24&gt;=1,$A24&lt;=8,J$15&gt;=1,J$15&lt;=8),(INDEX(Kernels!$B$5:$D$7,1,1)*INDEX(Datos!$B$3:$K$12,($A24+1)+-1,(J$15+1)+-1)+INDEX(Kernels!$B$5:$D$7,1,2)*INDEX(Datos!$B$3:$K$12,($A24+1)+-1,(J$15+1)+0)+INDEX(Kernels!$B$5:$D$7,1,3)*INDEX(Datos!$B$3:$K$12,($A24+1)+-1,(J$15+1)+1)+INDEX(Kernels!$B$5:$D$7,2,1)*INDEX(Datos!$B$3:$K$12,($A24+1)+0,(J$15+1)+-1)+INDEX(Kernels!$B$5:$D$7,2,2)*INDEX(Datos!$B$3:$K$12,($A24+1)+0,(J$15+1)+0)+INDEX(Kernels!$B$5:$D$7,2,3)*INDEX(Datos!$B$3:$K$12,($A24+1)+0,(J$15+1)+1)+INDEX(Kernels!$B$5:$D$7,3,1)*INDEX(Datos!$B$3:$K$12,($A24+1)+1,(J$15+1)+-1)+INDEX(Kernels!$B$5:$D$7,3,2)*INDEX(Datos!$B$3:$K$12,($A24+1)+1,(J$15+1)+0)+INDEX(Kernels!$B$5:$D$7,3,3)*INDEX(Datos!$B$3:$K$12,($A24+1)+1,(J$15+1)+1))/Kernels!$F$6,"")</f>
        <v>122.33333333333333</v>
      </c>
      <c r="K24" s="9" t="str">
        <f>IF(AND($A24&gt;=1,$A24&lt;=8,K$15&gt;=1,K$15&lt;=8),(INDEX(Kernels!$B$5:$D$7,1,1)*INDEX(Datos!$B$3:$K$12,($A24+1)+-1,(K$15+1)+-1)+INDEX(Kernels!$B$5:$D$7,1,2)*INDEX(Datos!$B$3:$K$12,($A24+1)+-1,(K$15+1)+0)+INDEX(Kernels!$B$5:$D$7,1,3)*INDEX(Datos!$B$3:$K$12,($A24+1)+-1,(K$15+1)+1)+INDEX(Kernels!$B$5:$D$7,2,1)*INDEX(Datos!$B$3:$K$12,($A24+1)+0,(K$15+1)+-1)+INDEX(Kernels!$B$5:$D$7,2,2)*INDEX(Datos!$B$3:$K$12,($A24+1)+0,(K$15+1)+0)+INDEX(Kernels!$B$5:$D$7,2,3)*INDEX(Datos!$B$3:$K$12,($A24+1)+0,(K$15+1)+1)+INDEX(Kernels!$B$5:$D$7,3,1)*INDEX(Datos!$B$3:$K$12,($A24+1)+1,(K$15+1)+-1)+INDEX(Kernels!$B$5:$D$7,3,2)*INDEX(Datos!$B$3:$K$12,($A24+1)+1,(K$15+1)+0)+INDEX(Kernels!$B$5:$D$7,3,3)*INDEX(Datos!$B$3:$K$12,($A24+1)+1,(K$15+1)+1))/Kernels!$F$6,"")</f>
        <v/>
      </c>
    </row>
    <row r="25" spans="1:11" ht="24" customHeight="1" x14ac:dyDescent="0.2">
      <c r="A25" s="10">
        <v>9</v>
      </c>
      <c r="B25" s="9" t="str">
        <f>IF(AND($A25&gt;=1,$A25&lt;=8,B$15&gt;=1,B$15&lt;=8),(INDEX(Kernels!$B$5:$D$7,1,1)*INDEX(Datos!$B$3:$K$12,($A25+1)+-1,(B$15+1)+-1)+INDEX(Kernels!$B$5:$D$7,1,2)*INDEX(Datos!$B$3:$K$12,($A25+1)+-1,(B$15+1)+0)+INDEX(Kernels!$B$5:$D$7,1,3)*INDEX(Datos!$B$3:$K$12,($A25+1)+-1,(B$15+1)+1)+INDEX(Kernels!$B$5:$D$7,2,1)*INDEX(Datos!$B$3:$K$12,($A25+1)+0,(B$15+1)+-1)+INDEX(Kernels!$B$5:$D$7,2,2)*INDEX(Datos!$B$3:$K$12,($A25+1)+0,(B$15+1)+0)+INDEX(Kernels!$B$5:$D$7,2,3)*INDEX(Datos!$B$3:$K$12,($A25+1)+0,(B$15+1)+1)+INDEX(Kernels!$B$5:$D$7,3,1)*INDEX(Datos!$B$3:$K$12,($A25+1)+1,(B$15+1)+-1)+INDEX(Kernels!$B$5:$D$7,3,2)*INDEX(Datos!$B$3:$K$12,($A25+1)+1,(B$15+1)+0)+INDEX(Kernels!$B$5:$D$7,3,3)*INDEX(Datos!$B$3:$K$12,($A25+1)+1,(B$15+1)+1))/Kernels!$F$6,"")</f>
        <v/>
      </c>
      <c r="C25" s="9" t="str">
        <f>IF(AND($A25&gt;=1,$A25&lt;=8,C$15&gt;=1,C$15&lt;=8),(INDEX(Kernels!$B$5:$D$7,1,1)*INDEX(Datos!$B$3:$K$12,($A25+1)+-1,(C$15+1)+-1)+INDEX(Kernels!$B$5:$D$7,1,2)*INDEX(Datos!$B$3:$K$12,($A25+1)+-1,(C$15+1)+0)+INDEX(Kernels!$B$5:$D$7,1,3)*INDEX(Datos!$B$3:$K$12,($A25+1)+-1,(C$15+1)+1)+INDEX(Kernels!$B$5:$D$7,2,1)*INDEX(Datos!$B$3:$K$12,($A25+1)+0,(C$15+1)+-1)+INDEX(Kernels!$B$5:$D$7,2,2)*INDEX(Datos!$B$3:$K$12,($A25+1)+0,(C$15+1)+0)+INDEX(Kernels!$B$5:$D$7,2,3)*INDEX(Datos!$B$3:$K$12,($A25+1)+0,(C$15+1)+1)+INDEX(Kernels!$B$5:$D$7,3,1)*INDEX(Datos!$B$3:$K$12,($A25+1)+1,(C$15+1)+-1)+INDEX(Kernels!$B$5:$D$7,3,2)*INDEX(Datos!$B$3:$K$12,($A25+1)+1,(C$15+1)+0)+INDEX(Kernels!$B$5:$D$7,3,3)*INDEX(Datos!$B$3:$K$12,($A25+1)+1,(C$15+1)+1))/Kernels!$F$6,"")</f>
        <v/>
      </c>
      <c r="D25" s="9" t="str">
        <f>IF(AND($A25&gt;=1,$A25&lt;=8,D$15&gt;=1,D$15&lt;=8),(INDEX(Kernels!$B$5:$D$7,1,1)*INDEX(Datos!$B$3:$K$12,($A25+1)+-1,(D$15+1)+-1)+INDEX(Kernels!$B$5:$D$7,1,2)*INDEX(Datos!$B$3:$K$12,($A25+1)+-1,(D$15+1)+0)+INDEX(Kernels!$B$5:$D$7,1,3)*INDEX(Datos!$B$3:$K$12,($A25+1)+-1,(D$15+1)+1)+INDEX(Kernels!$B$5:$D$7,2,1)*INDEX(Datos!$B$3:$K$12,($A25+1)+0,(D$15+1)+-1)+INDEX(Kernels!$B$5:$D$7,2,2)*INDEX(Datos!$B$3:$K$12,($A25+1)+0,(D$15+1)+0)+INDEX(Kernels!$B$5:$D$7,2,3)*INDEX(Datos!$B$3:$K$12,($A25+1)+0,(D$15+1)+1)+INDEX(Kernels!$B$5:$D$7,3,1)*INDEX(Datos!$B$3:$K$12,($A25+1)+1,(D$15+1)+-1)+INDEX(Kernels!$B$5:$D$7,3,2)*INDEX(Datos!$B$3:$K$12,($A25+1)+1,(D$15+1)+0)+INDEX(Kernels!$B$5:$D$7,3,3)*INDEX(Datos!$B$3:$K$12,($A25+1)+1,(D$15+1)+1))/Kernels!$F$6,"")</f>
        <v/>
      </c>
      <c r="E25" s="9" t="str">
        <f>IF(AND($A25&gt;=1,$A25&lt;=8,E$15&gt;=1,E$15&lt;=8),(INDEX(Kernels!$B$5:$D$7,1,1)*INDEX(Datos!$B$3:$K$12,($A25+1)+-1,(E$15+1)+-1)+INDEX(Kernels!$B$5:$D$7,1,2)*INDEX(Datos!$B$3:$K$12,($A25+1)+-1,(E$15+1)+0)+INDEX(Kernels!$B$5:$D$7,1,3)*INDEX(Datos!$B$3:$K$12,($A25+1)+-1,(E$15+1)+1)+INDEX(Kernels!$B$5:$D$7,2,1)*INDEX(Datos!$B$3:$K$12,($A25+1)+0,(E$15+1)+-1)+INDEX(Kernels!$B$5:$D$7,2,2)*INDEX(Datos!$B$3:$K$12,($A25+1)+0,(E$15+1)+0)+INDEX(Kernels!$B$5:$D$7,2,3)*INDEX(Datos!$B$3:$K$12,($A25+1)+0,(E$15+1)+1)+INDEX(Kernels!$B$5:$D$7,3,1)*INDEX(Datos!$B$3:$K$12,($A25+1)+1,(E$15+1)+-1)+INDEX(Kernels!$B$5:$D$7,3,2)*INDEX(Datos!$B$3:$K$12,($A25+1)+1,(E$15+1)+0)+INDEX(Kernels!$B$5:$D$7,3,3)*INDEX(Datos!$B$3:$K$12,($A25+1)+1,(E$15+1)+1))/Kernels!$F$6,"")</f>
        <v/>
      </c>
      <c r="F25" s="9" t="str">
        <f>IF(AND($A25&gt;=1,$A25&lt;=8,F$15&gt;=1,F$15&lt;=8),(INDEX(Kernels!$B$5:$D$7,1,1)*INDEX(Datos!$B$3:$K$12,($A25+1)+-1,(F$15+1)+-1)+INDEX(Kernels!$B$5:$D$7,1,2)*INDEX(Datos!$B$3:$K$12,($A25+1)+-1,(F$15+1)+0)+INDEX(Kernels!$B$5:$D$7,1,3)*INDEX(Datos!$B$3:$K$12,($A25+1)+-1,(F$15+1)+1)+INDEX(Kernels!$B$5:$D$7,2,1)*INDEX(Datos!$B$3:$K$12,($A25+1)+0,(F$15+1)+-1)+INDEX(Kernels!$B$5:$D$7,2,2)*INDEX(Datos!$B$3:$K$12,($A25+1)+0,(F$15+1)+0)+INDEX(Kernels!$B$5:$D$7,2,3)*INDEX(Datos!$B$3:$K$12,($A25+1)+0,(F$15+1)+1)+INDEX(Kernels!$B$5:$D$7,3,1)*INDEX(Datos!$B$3:$K$12,($A25+1)+1,(F$15+1)+-1)+INDEX(Kernels!$B$5:$D$7,3,2)*INDEX(Datos!$B$3:$K$12,($A25+1)+1,(F$15+1)+0)+INDEX(Kernels!$B$5:$D$7,3,3)*INDEX(Datos!$B$3:$K$12,($A25+1)+1,(F$15+1)+1))/Kernels!$F$6,"")</f>
        <v/>
      </c>
      <c r="G25" s="9" t="str">
        <f>IF(AND($A25&gt;=1,$A25&lt;=8,G$15&gt;=1,G$15&lt;=8),(INDEX(Kernels!$B$5:$D$7,1,1)*INDEX(Datos!$B$3:$K$12,($A25+1)+-1,(G$15+1)+-1)+INDEX(Kernels!$B$5:$D$7,1,2)*INDEX(Datos!$B$3:$K$12,($A25+1)+-1,(G$15+1)+0)+INDEX(Kernels!$B$5:$D$7,1,3)*INDEX(Datos!$B$3:$K$12,($A25+1)+-1,(G$15+1)+1)+INDEX(Kernels!$B$5:$D$7,2,1)*INDEX(Datos!$B$3:$K$12,($A25+1)+0,(G$15+1)+-1)+INDEX(Kernels!$B$5:$D$7,2,2)*INDEX(Datos!$B$3:$K$12,($A25+1)+0,(G$15+1)+0)+INDEX(Kernels!$B$5:$D$7,2,3)*INDEX(Datos!$B$3:$K$12,($A25+1)+0,(G$15+1)+1)+INDEX(Kernels!$B$5:$D$7,3,1)*INDEX(Datos!$B$3:$K$12,($A25+1)+1,(G$15+1)+-1)+INDEX(Kernels!$B$5:$D$7,3,2)*INDEX(Datos!$B$3:$K$12,($A25+1)+1,(G$15+1)+0)+INDEX(Kernels!$B$5:$D$7,3,3)*INDEX(Datos!$B$3:$K$12,($A25+1)+1,(G$15+1)+1))/Kernels!$F$6,"")</f>
        <v/>
      </c>
      <c r="H25" s="9" t="str">
        <f>IF(AND($A25&gt;=1,$A25&lt;=8,H$15&gt;=1,H$15&lt;=8),(INDEX(Kernels!$B$5:$D$7,1,1)*INDEX(Datos!$B$3:$K$12,($A25+1)+-1,(H$15+1)+-1)+INDEX(Kernels!$B$5:$D$7,1,2)*INDEX(Datos!$B$3:$K$12,($A25+1)+-1,(H$15+1)+0)+INDEX(Kernels!$B$5:$D$7,1,3)*INDEX(Datos!$B$3:$K$12,($A25+1)+-1,(H$15+1)+1)+INDEX(Kernels!$B$5:$D$7,2,1)*INDEX(Datos!$B$3:$K$12,($A25+1)+0,(H$15+1)+-1)+INDEX(Kernels!$B$5:$D$7,2,2)*INDEX(Datos!$B$3:$K$12,($A25+1)+0,(H$15+1)+0)+INDEX(Kernels!$B$5:$D$7,2,3)*INDEX(Datos!$B$3:$K$12,($A25+1)+0,(H$15+1)+1)+INDEX(Kernels!$B$5:$D$7,3,1)*INDEX(Datos!$B$3:$K$12,($A25+1)+1,(H$15+1)+-1)+INDEX(Kernels!$B$5:$D$7,3,2)*INDEX(Datos!$B$3:$K$12,($A25+1)+1,(H$15+1)+0)+INDEX(Kernels!$B$5:$D$7,3,3)*INDEX(Datos!$B$3:$K$12,($A25+1)+1,(H$15+1)+1))/Kernels!$F$6,"")</f>
        <v/>
      </c>
      <c r="I25" s="9" t="str">
        <f>IF(AND($A25&gt;=1,$A25&lt;=8,I$15&gt;=1,I$15&lt;=8),(INDEX(Kernels!$B$5:$D$7,1,1)*INDEX(Datos!$B$3:$K$12,($A25+1)+-1,(I$15+1)+-1)+INDEX(Kernels!$B$5:$D$7,1,2)*INDEX(Datos!$B$3:$K$12,($A25+1)+-1,(I$15+1)+0)+INDEX(Kernels!$B$5:$D$7,1,3)*INDEX(Datos!$B$3:$K$12,($A25+1)+-1,(I$15+1)+1)+INDEX(Kernels!$B$5:$D$7,2,1)*INDEX(Datos!$B$3:$K$12,($A25+1)+0,(I$15+1)+-1)+INDEX(Kernels!$B$5:$D$7,2,2)*INDEX(Datos!$B$3:$K$12,($A25+1)+0,(I$15+1)+0)+INDEX(Kernels!$B$5:$D$7,2,3)*INDEX(Datos!$B$3:$K$12,($A25+1)+0,(I$15+1)+1)+INDEX(Kernels!$B$5:$D$7,3,1)*INDEX(Datos!$B$3:$K$12,($A25+1)+1,(I$15+1)+-1)+INDEX(Kernels!$B$5:$D$7,3,2)*INDEX(Datos!$B$3:$K$12,($A25+1)+1,(I$15+1)+0)+INDEX(Kernels!$B$5:$D$7,3,3)*INDEX(Datos!$B$3:$K$12,($A25+1)+1,(I$15+1)+1))/Kernels!$F$6,"")</f>
        <v/>
      </c>
      <c r="J25" s="9" t="str">
        <f>IF(AND($A25&gt;=1,$A25&lt;=8,J$15&gt;=1,J$15&lt;=8),(INDEX(Kernels!$B$5:$D$7,1,1)*INDEX(Datos!$B$3:$K$12,($A25+1)+-1,(J$15+1)+-1)+INDEX(Kernels!$B$5:$D$7,1,2)*INDEX(Datos!$B$3:$K$12,($A25+1)+-1,(J$15+1)+0)+INDEX(Kernels!$B$5:$D$7,1,3)*INDEX(Datos!$B$3:$K$12,($A25+1)+-1,(J$15+1)+1)+INDEX(Kernels!$B$5:$D$7,2,1)*INDEX(Datos!$B$3:$K$12,($A25+1)+0,(J$15+1)+-1)+INDEX(Kernels!$B$5:$D$7,2,2)*INDEX(Datos!$B$3:$K$12,($A25+1)+0,(J$15+1)+0)+INDEX(Kernels!$B$5:$D$7,2,3)*INDEX(Datos!$B$3:$K$12,($A25+1)+0,(J$15+1)+1)+INDEX(Kernels!$B$5:$D$7,3,1)*INDEX(Datos!$B$3:$K$12,($A25+1)+1,(J$15+1)+-1)+INDEX(Kernels!$B$5:$D$7,3,2)*INDEX(Datos!$B$3:$K$12,($A25+1)+1,(J$15+1)+0)+INDEX(Kernels!$B$5:$D$7,3,3)*INDEX(Datos!$B$3:$K$12,($A25+1)+1,(J$15+1)+1))/Kernels!$F$6,"")</f>
        <v/>
      </c>
      <c r="K25" s="9" t="str">
        <f>IF(AND($A25&gt;=1,$A25&lt;=8,K$15&gt;=1,K$15&lt;=8),(INDEX(Kernels!$B$5:$D$7,1,1)*INDEX(Datos!$B$3:$K$12,($A25+1)+-1,(K$15+1)+-1)+INDEX(Kernels!$B$5:$D$7,1,2)*INDEX(Datos!$B$3:$K$12,($A25+1)+-1,(K$15+1)+0)+INDEX(Kernels!$B$5:$D$7,1,3)*INDEX(Datos!$B$3:$K$12,($A25+1)+-1,(K$15+1)+1)+INDEX(Kernels!$B$5:$D$7,2,1)*INDEX(Datos!$B$3:$K$12,($A25+1)+0,(K$15+1)+-1)+INDEX(Kernels!$B$5:$D$7,2,2)*INDEX(Datos!$B$3:$K$12,($A25+1)+0,(K$15+1)+0)+INDEX(Kernels!$B$5:$D$7,2,3)*INDEX(Datos!$B$3:$K$12,($A25+1)+0,(K$15+1)+1)+INDEX(Kernels!$B$5:$D$7,3,1)*INDEX(Datos!$B$3:$K$12,($A25+1)+1,(K$15+1)+-1)+INDEX(Kernels!$B$5:$D$7,3,2)*INDEX(Datos!$B$3:$K$12,($A25+1)+1,(K$15+1)+0)+INDEX(Kernels!$B$5:$D$7,3,3)*INDEX(Datos!$B$3:$K$12,($A25+1)+1,(K$15+1)+1))/Kernels!$F$6,"")</f>
        <v/>
      </c>
    </row>
    <row r="26" spans="1:11" ht="24" customHeight="1" x14ac:dyDescent="0.2"/>
    <row r="27" spans="1:11" ht="24" customHeight="1" x14ac:dyDescent="0.2"/>
    <row r="28" spans="1:11" ht="24" customHeight="1" x14ac:dyDescent="0.2">
      <c r="A28" s="16" t="s">
        <v>30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</row>
    <row r="29" spans="1:11" ht="24" customHeight="1" x14ac:dyDescent="0.2">
      <c r="A29" s="10" t="s">
        <v>1</v>
      </c>
      <c r="B29" s="10">
        <v>0</v>
      </c>
      <c r="C29" s="10">
        <v>1</v>
      </c>
      <c r="D29" s="10">
        <v>2</v>
      </c>
      <c r="E29" s="10">
        <v>3</v>
      </c>
      <c r="F29" s="10">
        <v>4</v>
      </c>
      <c r="G29" s="10">
        <v>5</v>
      </c>
      <c r="H29" s="10">
        <v>6</v>
      </c>
      <c r="I29" s="10">
        <v>7</v>
      </c>
      <c r="J29" s="10">
        <v>8</v>
      </c>
      <c r="K29" s="10">
        <v>9</v>
      </c>
    </row>
    <row r="30" spans="1:11" ht="24" customHeight="1" x14ac:dyDescent="0.2">
      <c r="A30" s="10">
        <v>0</v>
      </c>
      <c r="B30" s="9" t="str">
        <f>IF(AND($A30&gt;=1,$A30&lt;=8,B$29&gt;=1,B$29&lt;=8),(INDEX(Kernels!$G$5:$I$7,1,1)*INDEX(Datos!$B$3:$K$12,($A30+1)+-1,(B$29+1)+-1)+INDEX(Kernels!$G$5:$I$7,1,2)*INDEX(Datos!$B$3:$K$12,($A30+1)+-1,(B$29+1)+0)+INDEX(Kernels!$G$5:$I$7,1,3)*INDEX(Datos!$B$3:$K$12,($A30+1)+-1,(B$29+1)+1)+INDEX(Kernels!$G$5:$I$7,2,1)*INDEX(Datos!$B$3:$K$12,($A30+1)+0,(B$29+1)+-1)+INDEX(Kernels!$G$5:$I$7,2,2)*INDEX(Datos!$B$3:$K$12,($A30+1)+0,(B$29+1)+0)+INDEX(Kernels!$G$5:$I$7,2,3)*INDEX(Datos!$B$3:$K$12,($A30+1)+0,(B$29+1)+1)+INDEX(Kernels!$G$5:$I$7,3,1)*INDEX(Datos!$B$3:$K$12,($A30+1)+1,(B$29+1)+-1)+INDEX(Kernels!$G$5:$I$7,3,2)*INDEX(Datos!$B$3:$K$12,($A30+1)+1,(B$29+1)+0)+INDEX(Kernels!$G$5:$I$7,3,3)*INDEX(Datos!$B$3:$K$12,($A30+1)+1,(B$29+1)+1))/Kernels!$K$6,"")</f>
        <v/>
      </c>
      <c r="C30" s="9" t="str">
        <f>IF(AND($A30&gt;=1,$A30&lt;=8,C$29&gt;=1,C$29&lt;=8),(INDEX(Kernels!$G$5:$I$7,1,1)*INDEX(Datos!$B$3:$K$12,($A30+1)+-1,(C$29+1)+-1)+INDEX(Kernels!$G$5:$I$7,1,2)*INDEX(Datos!$B$3:$K$12,($A30+1)+-1,(C$29+1)+0)+INDEX(Kernels!$G$5:$I$7,1,3)*INDEX(Datos!$B$3:$K$12,($A30+1)+-1,(C$29+1)+1)+INDEX(Kernels!$G$5:$I$7,2,1)*INDEX(Datos!$B$3:$K$12,($A30+1)+0,(C$29+1)+-1)+INDEX(Kernels!$G$5:$I$7,2,2)*INDEX(Datos!$B$3:$K$12,($A30+1)+0,(C$29+1)+0)+INDEX(Kernels!$G$5:$I$7,2,3)*INDEX(Datos!$B$3:$K$12,($A30+1)+0,(C$29+1)+1)+INDEX(Kernels!$G$5:$I$7,3,1)*INDEX(Datos!$B$3:$K$12,($A30+1)+1,(C$29+1)+-1)+INDEX(Kernels!$G$5:$I$7,3,2)*INDEX(Datos!$B$3:$K$12,($A30+1)+1,(C$29+1)+0)+INDEX(Kernels!$G$5:$I$7,3,3)*INDEX(Datos!$B$3:$K$12,($A30+1)+1,(C$29+1)+1))/Kernels!$K$6,"")</f>
        <v/>
      </c>
      <c r="D30" s="9" t="str">
        <f>IF(AND($A30&gt;=1,$A30&lt;=8,D$29&gt;=1,D$29&lt;=8),(INDEX(Kernels!$G$5:$I$7,1,1)*INDEX(Datos!$B$3:$K$12,($A30+1)+-1,(D$29+1)+-1)+INDEX(Kernels!$G$5:$I$7,1,2)*INDEX(Datos!$B$3:$K$12,($A30+1)+-1,(D$29+1)+0)+INDEX(Kernels!$G$5:$I$7,1,3)*INDEX(Datos!$B$3:$K$12,($A30+1)+-1,(D$29+1)+1)+INDEX(Kernels!$G$5:$I$7,2,1)*INDEX(Datos!$B$3:$K$12,($A30+1)+0,(D$29+1)+-1)+INDEX(Kernels!$G$5:$I$7,2,2)*INDEX(Datos!$B$3:$K$12,($A30+1)+0,(D$29+1)+0)+INDEX(Kernels!$G$5:$I$7,2,3)*INDEX(Datos!$B$3:$K$12,($A30+1)+0,(D$29+1)+1)+INDEX(Kernels!$G$5:$I$7,3,1)*INDEX(Datos!$B$3:$K$12,($A30+1)+1,(D$29+1)+-1)+INDEX(Kernels!$G$5:$I$7,3,2)*INDEX(Datos!$B$3:$K$12,($A30+1)+1,(D$29+1)+0)+INDEX(Kernels!$G$5:$I$7,3,3)*INDEX(Datos!$B$3:$K$12,($A30+1)+1,(D$29+1)+1))/Kernels!$K$6,"")</f>
        <v/>
      </c>
      <c r="E30" s="9" t="str">
        <f>IF(AND($A30&gt;=1,$A30&lt;=8,E$29&gt;=1,E$29&lt;=8),(INDEX(Kernels!$G$5:$I$7,1,1)*INDEX(Datos!$B$3:$K$12,($A30+1)+-1,(E$29+1)+-1)+INDEX(Kernels!$G$5:$I$7,1,2)*INDEX(Datos!$B$3:$K$12,($A30+1)+-1,(E$29+1)+0)+INDEX(Kernels!$G$5:$I$7,1,3)*INDEX(Datos!$B$3:$K$12,($A30+1)+-1,(E$29+1)+1)+INDEX(Kernels!$G$5:$I$7,2,1)*INDEX(Datos!$B$3:$K$12,($A30+1)+0,(E$29+1)+-1)+INDEX(Kernels!$G$5:$I$7,2,2)*INDEX(Datos!$B$3:$K$12,($A30+1)+0,(E$29+1)+0)+INDEX(Kernels!$G$5:$I$7,2,3)*INDEX(Datos!$B$3:$K$12,($A30+1)+0,(E$29+1)+1)+INDEX(Kernels!$G$5:$I$7,3,1)*INDEX(Datos!$B$3:$K$12,($A30+1)+1,(E$29+1)+-1)+INDEX(Kernels!$G$5:$I$7,3,2)*INDEX(Datos!$B$3:$K$12,($A30+1)+1,(E$29+1)+0)+INDEX(Kernels!$G$5:$I$7,3,3)*INDEX(Datos!$B$3:$K$12,($A30+1)+1,(E$29+1)+1))/Kernels!$K$6,"")</f>
        <v/>
      </c>
      <c r="F30" s="9" t="str">
        <f>IF(AND($A30&gt;=1,$A30&lt;=8,F$29&gt;=1,F$29&lt;=8),(INDEX(Kernels!$G$5:$I$7,1,1)*INDEX(Datos!$B$3:$K$12,($A30+1)+-1,(F$29+1)+-1)+INDEX(Kernels!$G$5:$I$7,1,2)*INDEX(Datos!$B$3:$K$12,($A30+1)+-1,(F$29+1)+0)+INDEX(Kernels!$G$5:$I$7,1,3)*INDEX(Datos!$B$3:$K$12,($A30+1)+-1,(F$29+1)+1)+INDEX(Kernels!$G$5:$I$7,2,1)*INDEX(Datos!$B$3:$K$12,($A30+1)+0,(F$29+1)+-1)+INDEX(Kernels!$G$5:$I$7,2,2)*INDEX(Datos!$B$3:$K$12,($A30+1)+0,(F$29+1)+0)+INDEX(Kernels!$G$5:$I$7,2,3)*INDEX(Datos!$B$3:$K$12,($A30+1)+0,(F$29+1)+1)+INDEX(Kernels!$G$5:$I$7,3,1)*INDEX(Datos!$B$3:$K$12,($A30+1)+1,(F$29+1)+-1)+INDEX(Kernels!$G$5:$I$7,3,2)*INDEX(Datos!$B$3:$K$12,($A30+1)+1,(F$29+1)+0)+INDEX(Kernels!$G$5:$I$7,3,3)*INDEX(Datos!$B$3:$K$12,($A30+1)+1,(F$29+1)+1))/Kernels!$K$6,"")</f>
        <v/>
      </c>
      <c r="G30" s="9" t="str">
        <f>IF(AND($A30&gt;=1,$A30&lt;=8,G$29&gt;=1,G$29&lt;=8),(INDEX(Kernels!$G$5:$I$7,1,1)*INDEX(Datos!$B$3:$K$12,($A30+1)+-1,(G$29+1)+-1)+INDEX(Kernels!$G$5:$I$7,1,2)*INDEX(Datos!$B$3:$K$12,($A30+1)+-1,(G$29+1)+0)+INDEX(Kernels!$G$5:$I$7,1,3)*INDEX(Datos!$B$3:$K$12,($A30+1)+-1,(G$29+1)+1)+INDEX(Kernels!$G$5:$I$7,2,1)*INDEX(Datos!$B$3:$K$12,($A30+1)+0,(G$29+1)+-1)+INDEX(Kernels!$G$5:$I$7,2,2)*INDEX(Datos!$B$3:$K$12,($A30+1)+0,(G$29+1)+0)+INDEX(Kernels!$G$5:$I$7,2,3)*INDEX(Datos!$B$3:$K$12,($A30+1)+0,(G$29+1)+1)+INDEX(Kernels!$G$5:$I$7,3,1)*INDEX(Datos!$B$3:$K$12,($A30+1)+1,(G$29+1)+-1)+INDEX(Kernels!$G$5:$I$7,3,2)*INDEX(Datos!$B$3:$K$12,($A30+1)+1,(G$29+1)+0)+INDEX(Kernels!$G$5:$I$7,3,3)*INDEX(Datos!$B$3:$K$12,($A30+1)+1,(G$29+1)+1))/Kernels!$K$6,"")</f>
        <v/>
      </c>
      <c r="H30" s="9" t="str">
        <f>IF(AND($A30&gt;=1,$A30&lt;=8,H$29&gt;=1,H$29&lt;=8),(INDEX(Kernels!$G$5:$I$7,1,1)*INDEX(Datos!$B$3:$K$12,($A30+1)+-1,(H$29+1)+-1)+INDEX(Kernels!$G$5:$I$7,1,2)*INDEX(Datos!$B$3:$K$12,($A30+1)+-1,(H$29+1)+0)+INDEX(Kernels!$G$5:$I$7,1,3)*INDEX(Datos!$B$3:$K$12,($A30+1)+-1,(H$29+1)+1)+INDEX(Kernels!$G$5:$I$7,2,1)*INDEX(Datos!$B$3:$K$12,($A30+1)+0,(H$29+1)+-1)+INDEX(Kernels!$G$5:$I$7,2,2)*INDEX(Datos!$B$3:$K$12,($A30+1)+0,(H$29+1)+0)+INDEX(Kernels!$G$5:$I$7,2,3)*INDEX(Datos!$B$3:$K$12,($A30+1)+0,(H$29+1)+1)+INDEX(Kernels!$G$5:$I$7,3,1)*INDEX(Datos!$B$3:$K$12,($A30+1)+1,(H$29+1)+-1)+INDEX(Kernels!$G$5:$I$7,3,2)*INDEX(Datos!$B$3:$K$12,($A30+1)+1,(H$29+1)+0)+INDEX(Kernels!$G$5:$I$7,3,3)*INDEX(Datos!$B$3:$K$12,($A30+1)+1,(H$29+1)+1))/Kernels!$K$6,"")</f>
        <v/>
      </c>
      <c r="I30" s="9" t="str">
        <f>IF(AND($A30&gt;=1,$A30&lt;=8,I$29&gt;=1,I$29&lt;=8),(INDEX(Kernels!$G$5:$I$7,1,1)*INDEX(Datos!$B$3:$K$12,($A30+1)+-1,(I$29+1)+-1)+INDEX(Kernels!$G$5:$I$7,1,2)*INDEX(Datos!$B$3:$K$12,($A30+1)+-1,(I$29+1)+0)+INDEX(Kernels!$G$5:$I$7,1,3)*INDEX(Datos!$B$3:$K$12,($A30+1)+-1,(I$29+1)+1)+INDEX(Kernels!$G$5:$I$7,2,1)*INDEX(Datos!$B$3:$K$12,($A30+1)+0,(I$29+1)+-1)+INDEX(Kernels!$G$5:$I$7,2,2)*INDEX(Datos!$B$3:$K$12,($A30+1)+0,(I$29+1)+0)+INDEX(Kernels!$G$5:$I$7,2,3)*INDEX(Datos!$B$3:$K$12,($A30+1)+0,(I$29+1)+1)+INDEX(Kernels!$G$5:$I$7,3,1)*INDEX(Datos!$B$3:$K$12,($A30+1)+1,(I$29+1)+-1)+INDEX(Kernels!$G$5:$I$7,3,2)*INDEX(Datos!$B$3:$K$12,($A30+1)+1,(I$29+1)+0)+INDEX(Kernels!$G$5:$I$7,3,3)*INDEX(Datos!$B$3:$K$12,($A30+1)+1,(I$29+1)+1))/Kernels!$K$6,"")</f>
        <v/>
      </c>
      <c r="J30" s="9" t="str">
        <f>IF(AND($A30&gt;=1,$A30&lt;=8,J$29&gt;=1,J$29&lt;=8),(INDEX(Kernels!$G$5:$I$7,1,1)*INDEX(Datos!$B$3:$K$12,($A30+1)+-1,(J$29+1)+-1)+INDEX(Kernels!$G$5:$I$7,1,2)*INDEX(Datos!$B$3:$K$12,($A30+1)+-1,(J$29+1)+0)+INDEX(Kernels!$G$5:$I$7,1,3)*INDEX(Datos!$B$3:$K$12,($A30+1)+-1,(J$29+1)+1)+INDEX(Kernels!$G$5:$I$7,2,1)*INDEX(Datos!$B$3:$K$12,($A30+1)+0,(J$29+1)+-1)+INDEX(Kernels!$G$5:$I$7,2,2)*INDEX(Datos!$B$3:$K$12,($A30+1)+0,(J$29+1)+0)+INDEX(Kernels!$G$5:$I$7,2,3)*INDEX(Datos!$B$3:$K$12,($A30+1)+0,(J$29+1)+1)+INDEX(Kernels!$G$5:$I$7,3,1)*INDEX(Datos!$B$3:$K$12,($A30+1)+1,(J$29+1)+-1)+INDEX(Kernels!$G$5:$I$7,3,2)*INDEX(Datos!$B$3:$K$12,($A30+1)+1,(J$29+1)+0)+INDEX(Kernels!$G$5:$I$7,3,3)*INDEX(Datos!$B$3:$K$12,($A30+1)+1,(J$29+1)+1))/Kernels!$K$6,"")</f>
        <v/>
      </c>
      <c r="K30" s="9" t="str">
        <f>IF(AND($A30&gt;=1,$A30&lt;=8,K$29&gt;=1,K$29&lt;=8),(INDEX(Kernels!$G$5:$I$7,1,1)*INDEX(Datos!$B$3:$K$12,($A30+1)+-1,(K$29+1)+-1)+INDEX(Kernels!$G$5:$I$7,1,2)*INDEX(Datos!$B$3:$K$12,($A30+1)+-1,(K$29+1)+0)+INDEX(Kernels!$G$5:$I$7,1,3)*INDEX(Datos!$B$3:$K$12,($A30+1)+-1,(K$29+1)+1)+INDEX(Kernels!$G$5:$I$7,2,1)*INDEX(Datos!$B$3:$K$12,($A30+1)+0,(K$29+1)+-1)+INDEX(Kernels!$G$5:$I$7,2,2)*INDEX(Datos!$B$3:$K$12,($A30+1)+0,(K$29+1)+0)+INDEX(Kernels!$G$5:$I$7,2,3)*INDEX(Datos!$B$3:$K$12,($A30+1)+0,(K$29+1)+1)+INDEX(Kernels!$G$5:$I$7,3,1)*INDEX(Datos!$B$3:$K$12,($A30+1)+1,(K$29+1)+-1)+INDEX(Kernels!$G$5:$I$7,3,2)*INDEX(Datos!$B$3:$K$12,($A30+1)+1,(K$29+1)+0)+INDEX(Kernels!$G$5:$I$7,3,3)*INDEX(Datos!$B$3:$K$12,($A30+1)+1,(K$29+1)+1))/Kernels!$K$6,"")</f>
        <v/>
      </c>
    </row>
    <row r="31" spans="1:11" ht="24" customHeight="1" x14ac:dyDescent="0.2">
      <c r="A31" s="10">
        <v>1</v>
      </c>
      <c r="B31" s="9" t="str">
        <f>IF(AND($A31&gt;=1,$A31&lt;=8,B$29&gt;=1,B$29&lt;=8),(INDEX(Kernels!$G$5:$I$7,1,1)*INDEX(Datos!$B$3:$K$12,($A31+1)+-1,(B$29+1)+-1)+INDEX(Kernels!$G$5:$I$7,1,2)*INDEX(Datos!$B$3:$K$12,($A31+1)+-1,(B$29+1)+0)+INDEX(Kernels!$G$5:$I$7,1,3)*INDEX(Datos!$B$3:$K$12,($A31+1)+-1,(B$29+1)+1)+INDEX(Kernels!$G$5:$I$7,2,1)*INDEX(Datos!$B$3:$K$12,($A31+1)+0,(B$29+1)+-1)+INDEX(Kernels!$G$5:$I$7,2,2)*INDEX(Datos!$B$3:$K$12,($A31+1)+0,(B$29+1)+0)+INDEX(Kernels!$G$5:$I$7,2,3)*INDEX(Datos!$B$3:$K$12,($A31+1)+0,(B$29+1)+1)+INDEX(Kernels!$G$5:$I$7,3,1)*INDEX(Datos!$B$3:$K$12,($A31+1)+1,(B$29+1)+-1)+INDEX(Kernels!$G$5:$I$7,3,2)*INDEX(Datos!$B$3:$K$12,($A31+1)+1,(B$29+1)+0)+INDEX(Kernels!$G$5:$I$7,3,3)*INDEX(Datos!$B$3:$K$12,($A31+1)+1,(B$29+1)+1))/Kernels!$K$6,"")</f>
        <v/>
      </c>
      <c r="C31" s="9">
        <f>IF(AND($A31&gt;=1,$A31&lt;=8,C$29&gt;=1,C$29&lt;=8),(INDEX(Kernels!$G$5:$I$7,1,1)*INDEX(Datos!$B$3:$K$12,($A31+1)+-1,(C$29+1)+-1)+INDEX(Kernels!$G$5:$I$7,1,2)*INDEX(Datos!$B$3:$K$12,($A31+1)+-1,(C$29+1)+0)+INDEX(Kernels!$G$5:$I$7,1,3)*INDEX(Datos!$B$3:$K$12,($A31+1)+-1,(C$29+1)+1)+INDEX(Kernels!$G$5:$I$7,2,1)*INDEX(Datos!$B$3:$K$12,($A31+1)+0,(C$29+1)+-1)+INDEX(Kernels!$G$5:$I$7,2,2)*INDEX(Datos!$B$3:$K$12,($A31+1)+0,(C$29+1)+0)+INDEX(Kernels!$G$5:$I$7,2,3)*INDEX(Datos!$B$3:$K$12,($A31+1)+0,(C$29+1)+1)+INDEX(Kernels!$G$5:$I$7,3,1)*INDEX(Datos!$B$3:$K$12,($A31+1)+1,(C$29+1)+-1)+INDEX(Kernels!$G$5:$I$7,3,2)*INDEX(Datos!$B$3:$K$12,($A31+1)+1,(C$29+1)+0)+INDEX(Kernels!$G$5:$I$7,3,3)*INDEX(Datos!$B$3:$K$12,($A31+1)+1,(C$29+1)+1))/Kernels!$K$6,"")</f>
        <v>109.625</v>
      </c>
      <c r="D31" s="9">
        <f>IF(AND($A31&gt;=1,$A31&lt;=8,D$29&gt;=1,D$29&lt;=8),(INDEX(Kernels!$G$5:$I$7,1,1)*INDEX(Datos!$B$3:$K$12,($A31+1)+-1,(D$29+1)+-1)+INDEX(Kernels!$G$5:$I$7,1,2)*INDEX(Datos!$B$3:$K$12,($A31+1)+-1,(D$29+1)+0)+INDEX(Kernels!$G$5:$I$7,1,3)*INDEX(Datos!$B$3:$K$12,($A31+1)+-1,(D$29+1)+1)+INDEX(Kernels!$G$5:$I$7,2,1)*INDEX(Datos!$B$3:$K$12,($A31+1)+0,(D$29+1)+-1)+INDEX(Kernels!$G$5:$I$7,2,2)*INDEX(Datos!$B$3:$K$12,($A31+1)+0,(D$29+1)+0)+INDEX(Kernels!$G$5:$I$7,2,3)*INDEX(Datos!$B$3:$K$12,($A31+1)+0,(D$29+1)+1)+INDEX(Kernels!$G$5:$I$7,3,1)*INDEX(Datos!$B$3:$K$12,($A31+1)+1,(D$29+1)+-1)+INDEX(Kernels!$G$5:$I$7,3,2)*INDEX(Datos!$B$3:$K$12,($A31+1)+1,(D$29+1)+0)+INDEX(Kernels!$G$5:$I$7,3,3)*INDEX(Datos!$B$3:$K$12,($A31+1)+1,(D$29+1)+1))/Kernels!$K$6,"")</f>
        <v>107.6875</v>
      </c>
      <c r="E31" s="9">
        <f>IF(AND($A31&gt;=1,$A31&lt;=8,E$29&gt;=1,E$29&lt;=8),(INDEX(Kernels!$G$5:$I$7,1,1)*INDEX(Datos!$B$3:$K$12,($A31+1)+-1,(E$29+1)+-1)+INDEX(Kernels!$G$5:$I$7,1,2)*INDEX(Datos!$B$3:$K$12,($A31+1)+-1,(E$29+1)+0)+INDEX(Kernels!$G$5:$I$7,1,3)*INDEX(Datos!$B$3:$K$12,($A31+1)+-1,(E$29+1)+1)+INDEX(Kernels!$G$5:$I$7,2,1)*INDEX(Datos!$B$3:$K$12,($A31+1)+0,(E$29+1)+-1)+INDEX(Kernels!$G$5:$I$7,2,2)*INDEX(Datos!$B$3:$K$12,($A31+1)+0,(E$29+1)+0)+INDEX(Kernels!$G$5:$I$7,2,3)*INDEX(Datos!$B$3:$K$12,($A31+1)+0,(E$29+1)+1)+INDEX(Kernels!$G$5:$I$7,3,1)*INDEX(Datos!$B$3:$K$12,($A31+1)+1,(E$29+1)+-1)+INDEX(Kernels!$G$5:$I$7,3,2)*INDEX(Datos!$B$3:$K$12,($A31+1)+1,(E$29+1)+0)+INDEX(Kernels!$G$5:$I$7,3,3)*INDEX(Datos!$B$3:$K$12,($A31+1)+1,(E$29+1)+1))/Kernels!$K$6,"")</f>
        <v>101.875</v>
      </c>
      <c r="F31" s="9">
        <f>IF(AND($A31&gt;=1,$A31&lt;=8,F$29&gt;=1,F$29&lt;=8),(INDEX(Kernels!$G$5:$I$7,1,1)*INDEX(Datos!$B$3:$K$12,($A31+1)+-1,(F$29+1)+-1)+INDEX(Kernels!$G$5:$I$7,1,2)*INDEX(Datos!$B$3:$K$12,($A31+1)+-1,(F$29+1)+0)+INDEX(Kernels!$G$5:$I$7,1,3)*INDEX(Datos!$B$3:$K$12,($A31+1)+-1,(F$29+1)+1)+INDEX(Kernels!$G$5:$I$7,2,1)*INDEX(Datos!$B$3:$K$12,($A31+1)+0,(F$29+1)+-1)+INDEX(Kernels!$G$5:$I$7,2,2)*INDEX(Datos!$B$3:$K$12,($A31+1)+0,(F$29+1)+0)+INDEX(Kernels!$G$5:$I$7,2,3)*INDEX(Datos!$B$3:$K$12,($A31+1)+0,(F$29+1)+1)+INDEX(Kernels!$G$5:$I$7,3,1)*INDEX(Datos!$B$3:$K$12,($A31+1)+1,(F$29+1)+-1)+INDEX(Kernels!$G$5:$I$7,3,2)*INDEX(Datos!$B$3:$K$12,($A31+1)+1,(F$29+1)+0)+INDEX(Kernels!$G$5:$I$7,3,3)*INDEX(Datos!$B$3:$K$12,($A31+1)+1,(F$29+1)+1))/Kernels!$K$6,"")</f>
        <v>91.0625</v>
      </c>
      <c r="G31" s="9">
        <f>IF(AND($A31&gt;=1,$A31&lt;=8,G$29&gt;=1,G$29&lt;=8),(INDEX(Kernels!$G$5:$I$7,1,1)*INDEX(Datos!$B$3:$K$12,($A31+1)+-1,(G$29+1)+-1)+INDEX(Kernels!$G$5:$I$7,1,2)*INDEX(Datos!$B$3:$K$12,($A31+1)+-1,(G$29+1)+0)+INDEX(Kernels!$G$5:$I$7,1,3)*INDEX(Datos!$B$3:$K$12,($A31+1)+-1,(G$29+1)+1)+INDEX(Kernels!$G$5:$I$7,2,1)*INDEX(Datos!$B$3:$K$12,($A31+1)+0,(G$29+1)+-1)+INDEX(Kernels!$G$5:$I$7,2,2)*INDEX(Datos!$B$3:$K$12,($A31+1)+0,(G$29+1)+0)+INDEX(Kernels!$G$5:$I$7,2,3)*INDEX(Datos!$B$3:$K$12,($A31+1)+0,(G$29+1)+1)+INDEX(Kernels!$G$5:$I$7,3,1)*INDEX(Datos!$B$3:$K$12,($A31+1)+1,(G$29+1)+-1)+INDEX(Kernels!$G$5:$I$7,3,2)*INDEX(Datos!$B$3:$K$12,($A31+1)+1,(G$29+1)+0)+INDEX(Kernels!$G$5:$I$7,3,3)*INDEX(Datos!$B$3:$K$12,($A31+1)+1,(G$29+1)+1))/Kernels!$K$6,"")</f>
        <v>80.9375</v>
      </c>
      <c r="H31" s="9">
        <f>IF(AND($A31&gt;=1,$A31&lt;=8,H$29&gt;=1,H$29&lt;=8),(INDEX(Kernels!$G$5:$I$7,1,1)*INDEX(Datos!$B$3:$K$12,($A31+1)+-1,(H$29+1)+-1)+INDEX(Kernels!$G$5:$I$7,1,2)*INDEX(Datos!$B$3:$K$12,($A31+1)+-1,(H$29+1)+0)+INDEX(Kernels!$G$5:$I$7,1,3)*INDEX(Datos!$B$3:$K$12,($A31+1)+-1,(H$29+1)+1)+INDEX(Kernels!$G$5:$I$7,2,1)*INDEX(Datos!$B$3:$K$12,($A31+1)+0,(H$29+1)+-1)+INDEX(Kernels!$G$5:$I$7,2,2)*INDEX(Datos!$B$3:$K$12,($A31+1)+0,(H$29+1)+0)+INDEX(Kernels!$G$5:$I$7,2,3)*INDEX(Datos!$B$3:$K$12,($A31+1)+0,(H$29+1)+1)+INDEX(Kernels!$G$5:$I$7,3,1)*INDEX(Datos!$B$3:$K$12,($A31+1)+1,(H$29+1)+-1)+INDEX(Kernels!$G$5:$I$7,3,2)*INDEX(Datos!$B$3:$K$12,($A31+1)+1,(H$29+1)+0)+INDEX(Kernels!$G$5:$I$7,3,3)*INDEX(Datos!$B$3:$K$12,($A31+1)+1,(H$29+1)+1))/Kernels!$K$6,"")</f>
        <v>78.5</v>
      </c>
      <c r="I31" s="9">
        <f>IF(AND($A31&gt;=1,$A31&lt;=8,I$29&gt;=1,I$29&lt;=8),(INDEX(Kernels!$G$5:$I$7,1,1)*INDEX(Datos!$B$3:$K$12,($A31+1)+-1,(I$29+1)+-1)+INDEX(Kernels!$G$5:$I$7,1,2)*INDEX(Datos!$B$3:$K$12,($A31+1)+-1,(I$29+1)+0)+INDEX(Kernels!$G$5:$I$7,1,3)*INDEX(Datos!$B$3:$K$12,($A31+1)+-1,(I$29+1)+1)+INDEX(Kernels!$G$5:$I$7,2,1)*INDEX(Datos!$B$3:$K$12,($A31+1)+0,(I$29+1)+-1)+INDEX(Kernels!$G$5:$I$7,2,2)*INDEX(Datos!$B$3:$K$12,($A31+1)+0,(I$29+1)+0)+INDEX(Kernels!$G$5:$I$7,2,3)*INDEX(Datos!$B$3:$K$12,($A31+1)+0,(I$29+1)+1)+INDEX(Kernels!$G$5:$I$7,3,1)*INDEX(Datos!$B$3:$K$12,($A31+1)+1,(I$29+1)+-1)+INDEX(Kernels!$G$5:$I$7,3,2)*INDEX(Datos!$B$3:$K$12,($A31+1)+1,(I$29+1)+0)+INDEX(Kernels!$G$5:$I$7,3,3)*INDEX(Datos!$B$3:$K$12,($A31+1)+1,(I$29+1)+1))/Kernels!$K$6,"")</f>
        <v>77.25</v>
      </c>
      <c r="J31" s="9">
        <f>IF(AND($A31&gt;=1,$A31&lt;=8,J$29&gt;=1,J$29&lt;=8),(INDEX(Kernels!$G$5:$I$7,1,1)*INDEX(Datos!$B$3:$K$12,($A31+1)+-1,(J$29+1)+-1)+INDEX(Kernels!$G$5:$I$7,1,2)*INDEX(Datos!$B$3:$K$12,($A31+1)+-1,(J$29+1)+0)+INDEX(Kernels!$G$5:$I$7,1,3)*INDEX(Datos!$B$3:$K$12,($A31+1)+-1,(J$29+1)+1)+INDEX(Kernels!$G$5:$I$7,2,1)*INDEX(Datos!$B$3:$K$12,($A31+1)+0,(J$29+1)+-1)+INDEX(Kernels!$G$5:$I$7,2,2)*INDEX(Datos!$B$3:$K$12,($A31+1)+0,(J$29+1)+0)+INDEX(Kernels!$G$5:$I$7,2,3)*INDEX(Datos!$B$3:$K$12,($A31+1)+0,(J$29+1)+1)+INDEX(Kernels!$G$5:$I$7,3,1)*INDEX(Datos!$B$3:$K$12,($A31+1)+1,(J$29+1)+-1)+INDEX(Kernels!$G$5:$I$7,3,2)*INDEX(Datos!$B$3:$K$12,($A31+1)+1,(J$29+1)+0)+INDEX(Kernels!$G$5:$I$7,3,3)*INDEX(Datos!$B$3:$K$12,($A31+1)+1,(J$29+1)+1))/Kernels!$K$6,"")</f>
        <v>67.5</v>
      </c>
      <c r="K31" s="9" t="str">
        <f>IF(AND($A31&gt;=1,$A31&lt;=8,K$29&gt;=1,K$29&lt;=8),(INDEX(Kernels!$G$5:$I$7,1,1)*INDEX(Datos!$B$3:$K$12,($A31+1)+-1,(K$29+1)+-1)+INDEX(Kernels!$G$5:$I$7,1,2)*INDEX(Datos!$B$3:$K$12,($A31+1)+-1,(K$29+1)+0)+INDEX(Kernels!$G$5:$I$7,1,3)*INDEX(Datos!$B$3:$K$12,($A31+1)+-1,(K$29+1)+1)+INDEX(Kernels!$G$5:$I$7,2,1)*INDEX(Datos!$B$3:$K$12,($A31+1)+0,(K$29+1)+-1)+INDEX(Kernels!$G$5:$I$7,2,2)*INDEX(Datos!$B$3:$K$12,($A31+1)+0,(K$29+1)+0)+INDEX(Kernels!$G$5:$I$7,2,3)*INDEX(Datos!$B$3:$K$12,($A31+1)+0,(K$29+1)+1)+INDEX(Kernels!$G$5:$I$7,3,1)*INDEX(Datos!$B$3:$K$12,($A31+1)+1,(K$29+1)+-1)+INDEX(Kernels!$G$5:$I$7,3,2)*INDEX(Datos!$B$3:$K$12,($A31+1)+1,(K$29+1)+0)+INDEX(Kernels!$G$5:$I$7,3,3)*INDEX(Datos!$B$3:$K$12,($A31+1)+1,(K$29+1)+1))/Kernels!$K$6,"")</f>
        <v/>
      </c>
    </row>
    <row r="32" spans="1:11" ht="24" customHeight="1" x14ac:dyDescent="0.2">
      <c r="A32" s="10">
        <v>2</v>
      </c>
      <c r="B32" s="9" t="str">
        <f>IF(AND($A32&gt;=1,$A32&lt;=8,B$29&gt;=1,B$29&lt;=8),(INDEX(Kernels!$G$5:$I$7,1,1)*INDEX(Datos!$B$3:$K$12,($A32+1)+-1,(B$29+1)+-1)+INDEX(Kernels!$G$5:$I$7,1,2)*INDEX(Datos!$B$3:$K$12,($A32+1)+-1,(B$29+1)+0)+INDEX(Kernels!$G$5:$I$7,1,3)*INDEX(Datos!$B$3:$K$12,($A32+1)+-1,(B$29+1)+1)+INDEX(Kernels!$G$5:$I$7,2,1)*INDEX(Datos!$B$3:$K$12,($A32+1)+0,(B$29+1)+-1)+INDEX(Kernels!$G$5:$I$7,2,2)*INDEX(Datos!$B$3:$K$12,($A32+1)+0,(B$29+1)+0)+INDEX(Kernels!$G$5:$I$7,2,3)*INDEX(Datos!$B$3:$K$12,($A32+1)+0,(B$29+1)+1)+INDEX(Kernels!$G$5:$I$7,3,1)*INDEX(Datos!$B$3:$K$12,($A32+1)+1,(B$29+1)+-1)+INDEX(Kernels!$G$5:$I$7,3,2)*INDEX(Datos!$B$3:$K$12,($A32+1)+1,(B$29+1)+0)+INDEX(Kernels!$G$5:$I$7,3,3)*INDEX(Datos!$B$3:$K$12,($A32+1)+1,(B$29+1)+1))/Kernels!$K$6,"")</f>
        <v/>
      </c>
      <c r="C32" s="9">
        <f>IF(AND($A32&gt;=1,$A32&lt;=8,C$29&gt;=1,C$29&lt;=8),(INDEX(Kernels!$G$5:$I$7,1,1)*INDEX(Datos!$B$3:$K$12,($A32+1)+-1,(C$29+1)+-1)+INDEX(Kernels!$G$5:$I$7,1,2)*INDEX(Datos!$B$3:$K$12,($A32+1)+-1,(C$29+1)+0)+INDEX(Kernels!$G$5:$I$7,1,3)*INDEX(Datos!$B$3:$K$12,($A32+1)+-1,(C$29+1)+1)+INDEX(Kernels!$G$5:$I$7,2,1)*INDEX(Datos!$B$3:$K$12,($A32+1)+0,(C$29+1)+-1)+INDEX(Kernels!$G$5:$I$7,2,2)*INDEX(Datos!$B$3:$K$12,($A32+1)+0,(C$29+1)+0)+INDEX(Kernels!$G$5:$I$7,2,3)*INDEX(Datos!$B$3:$K$12,($A32+1)+0,(C$29+1)+1)+INDEX(Kernels!$G$5:$I$7,3,1)*INDEX(Datos!$B$3:$K$12,($A32+1)+1,(C$29+1)+-1)+INDEX(Kernels!$G$5:$I$7,3,2)*INDEX(Datos!$B$3:$K$12,($A32+1)+1,(C$29+1)+0)+INDEX(Kernels!$G$5:$I$7,3,3)*INDEX(Datos!$B$3:$K$12,($A32+1)+1,(C$29+1)+1))/Kernels!$K$6,"")</f>
        <v>119.5</v>
      </c>
      <c r="D32" s="9">
        <f>IF(AND($A32&gt;=1,$A32&lt;=8,D$29&gt;=1,D$29&lt;=8),(INDEX(Kernels!$G$5:$I$7,1,1)*INDEX(Datos!$B$3:$K$12,($A32+1)+-1,(D$29+1)+-1)+INDEX(Kernels!$G$5:$I$7,1,2)*INDEX(Datos!$B$3:$K$12,($A32+1)+-1,(D$29+1)+0)+INDEX(Kernels!$G$5:$I$7,1,3)*INDEX(Datos!$B$3:$K$12,($A32+1)+-1,(D$29+1)+1)+INDEX(Kernels!$G$5:$I$7,2,1)*INDEX(Datos!$B$3:$K$12,($A32+1)+0,(D$29+1)+-1)+INDEX(Kernels!$G$5:$I$7,2,2)*INDEX(Datos!$B$3:$K$12,($A32+1)+0,(D$29+1)+0)+INDEX(Kernels!$G$5:$I$7,2,3)*INDEX(Datos!$B$3:$K$12,($A32+1)+0,(D$29+1)+1)+INDEX(Kernels!$G$5:$I$7,3,1)*INDEX(Datos!$B$3:$K$12,($A32+1)+1,(D$29+1)+-1)+INDEX(Kernels!$G$5:$I$7,3,2)*INDEX(Datos!$B$3:$K$12,($A32+1)+1,(D$29+1)+0)+INDEX(Kernels!$G$5:$I$7,3,3)*INDEX(Datos!$B$3:$K$12,($A32+1)+1,(D$29+1)+1))/Kernels!$K$6,"")</f>
        <v>118.125</v>
      </c>
      <c r="E32" s="9">
        <f>IF(AND($A32&gt;=1,$A32&lt;=8,E$29&gt;=1,E$29&lt;=8),(INDEX(Kernels!$G$5:$I$7,1,1)*INDEX(Datos!$B$3:$K$12,($A32+1)+-1,(E$29+1)+-1)+INDEX(Kernels!$G$5:$I$7,1,2)*INDEX(Datos!$B$3:$K$12,($A32+1)+-1,(E$29+1)+0)+INDEX(Kernels!$G$5:$I$7,1,3)*INDEX(Datos!$B$3:$K$12,($A32+1)+-1,(E$29+1)+1)+INDEX(Kernels!$G$5:$I$7,2,1)*INDEX(Datos!$B$3:$K$12,($A32+1)+0,(E$29+1)+-1)+INDEX(Kernels!$G$5:$I$7,2,2)*INDEX(Datos!$B$3:$K$12,($A32+1)+0,(E$29+1)+0)+INDEX(Kernels!$G$5:$I$7,2,3)*INDEX(Datos!$B$3:$K$12,($A32+1)+0,(E$29+1)+1)+INDEX(Kernels!$G$5:$I$7,3,1)*INDEX(Datos!$B$3:$K$12,($A32+1)+1,(E$29+1)+-1)+INDEX(Kernels!$G$5:$I$7,3,2)*INDEX(Datos!$B$3:$K$12,($A32+1)+1,(E$29+1)+0)+INDEX(Kernels!$G$5:$I$7,3,3)*INDEX(Datos!$B$3:$K$12,($A32+1)+1,(E$29+1)+1))/Kernels!$K$6,"")</f>
        <v>107</v>
      </c>
      <c r="F32" s="9">
        <f>IF(AND($A32&gt;=1,$A32&lt;=8,F$29&gt;=1,F$29&lt;=8),(INDEX(Kernels!$G$5:$I$7,1,1)*INDEX(Datos!$B$3:$K$12,($A32+1)+-1,(F$29+1)+-1)+INDEX(Kernels!$G$5:$I$7,1,2)*INDEX(Datos!$B$3:$K$12,($A32+1)+-1,(F$29+1)+0)+INDEX(Kernels!$G$5:$I$7,1,3)*INDEX(Datos!$B$3:$K$12,($A32+1)+-1,(F$29+1)+1)+INDEX(Kernels!$G$5:$I$7,2,1)*INDEX(Datos!$B$3:$K$12,($A32+1)+0,(F$29+1)+-1)+INDEX(Kernels!$G$5:$I$7,2,2)*INDEX(Datos!$B$3:$K$12,($A32+1)+0,(F$29+1)+0)+INDEX(Kernels!$G$5:$I$7,2,3)*INDEX(Datos!$B$3:$K$12,($A32+1)+0,(F$29+1)+1)+INDEX(Kernels!$G$5:$I$7,3,1)*INDEX(Datos!$B$3:$K$12,($A32+1)+1,(F$29+1)+-1)+INDEX(Kernels!$G$5:$I$7,3,2)*INDEX(Datos!$B$3:$K$12,($A32+1)+1,(F$29+1)+0)+INDEX(Kernels!$G$5:$I$7,3,3)*INDEX(Datos!$B$3:$K$12,($A32+1)+1,(F$29+1)+1))/Kernels!$K$6,"")</f>
        <v>92</v>
      </c>
      <c r="G32" s="9">
        <f>IF(AND($A32&gt;=1,$A32&lt;=8,G$29&gt;=1,G$29&lt;=8),(INDEX(Kernels!$G$5:$I$7,1,1)*INDEX(Datos!$B$3:$K$12,($A32+1)+-1,(G$29+1)+-1)+INDEX(Kernels!$G$5:$I$7,1,2)*INDEX(Datos!$B$3:$K$12,($A32+1)+-1,(G$29+1)+0)+INDEX(Kernels!$G$5:$I$7,1,3)*INDEX(Datos!$B$3:$K$12,($A32+1)+-1,(G$29+1)+1)+INDEX(Kernels!$G$5:$I$7,2,1)*INDEX(Datos!$B$3:$K$12,($A32+1)+0,(G$29+1)+-1)+INDEX(Kernels!$G$5:$I$7,2,2)*INDEX(Datos!$B$3:$K$12,($A32+1)+0,(G$29+1)+0)+INDEX(Kernels!$G$5:$I$7,2,3)*INDEX(Datos!$B$3:$K$12,($A32+1)+0,(G$29+1)+1)+INDEX(Kernels!$G$5:$I$7,3,1)*INDEX(Datos!$B$3:$K$12,($A32+1)+1,(G$29+1)+-1)+INDEX(Kernels!$G$5:$I$7,3,2)*INDEX(Datos!$B$3:$K$12,($A32+1)+1,(G$29+1)+0)+INDEX(Kernels!$G$5:$I$7,3,3)*INDEX(Datos!$B$3:$K$12,($A32+1)+1,(G$29+1)+1))/Kernels!$K$6,"")</f>
        <v>88.625</v>
      </c>
      <c r="H32" s="9">
        <f>IF(AND($A32&gt;=1,$A32&lt;=8,H$29&gt;=1,H$29&lt;=8),(INDEX(Kernels!$G$5:$I$7,1,1)*INDEX(Datos!$B$3:$K$12,($A32+1)+-1,(H$29+1)+-1)+INDEX(Kernels!$G$5:$I$7,1,2)*INDEX(Datos!$B$3:$K$12,($A32+1)+-1,(H$29+1)+0)+INDEX(Kernels!$G$5:$I$7,1,3)*INDEX(Datos!$B$3:$K$12,($A32+1)+-1,(H$29+1)+1)+INDEX(Kernels!$G$5:$I$7,2,1)*INDEX(Datos!$B$3:$K$12,($A32+1)+0,(H$29+1)+-1)+INDEX(Kernels!$G$5:$I$7,2,2)*INDEX(Datos!$B$3:$K$12,($A32+1)+0,(H$29+1)+0)+INDEX(Kernels!$G$5:$I$7,2,3)*INDEX(Datos!$B$3:$K$12,($A32+1)+0,(H$29+1)+1)+INDEX(Kernels!$G$5:$I$7,3,1)*INDEX(Datos!$B$3:$K$12,($A32+1)+1,(H$29+1)+-1)+INDEX(Kernels!$G$5:$I$7,3,2)*INDEX(Datos!$B$3:$K$12,($A32+1)+1,(H$29+1)+0)+INDEX(Kernels!$G$5:$I$7,3,3)*INDEX(Datos!$B$3:$K$12,($A32+1)+1,(H$29+1)+1))/Kernels!$K$6,"")</f>
        <v>103.3125</v>
      </c>
      <c r="I32" s="9">
        <f>IF(AND($A32&gt;=1,$A32&lt;=8,I$29&gt;=1,I$29&lt;=8),(INDEX(Kernels!$G$5:$I$7,1,1)*INDEX(Datos!$B$3:$K$12,($A32+1)+-1,(I$29+1)+-1)+INDEX(Kernels!$G$5:$I$7,1,2)*INDEX(Datos!$B$3:$K$12,($A32+1)+-1,(I$29+1)+0)+INDEX(Kernels!$G$5:$I$7,1,3)*INDEX(Datos!$B$3:$K$12,($A32+1)+-1,(I$29+1)+1)+INDEX(Kernels!$G$5:$I$7,2,1)*INDEX(Datos!$B$3:$K$12,($A32+1)+0,(I$29+1)+-1)+INDEX(Kernels!$G$5:$I$7,2,2)*INDEX(Datos!$B$3:$K$12,($A32+1)+0,(I$29+1)+0)+INDEX(Kernels!$G$5:$I$7,2,3)*INDEX(Datos!$B$3:$K$12,($A32+1)+0,(I$29+1)+1)+INDEX(Kernels!$G$5:$I$7,3,1)*INDEX(Datos!$B$3:$K$12,($A32+1)+1,(I$29+1)+-1)+INDEX(Kernels!$G$5:$I$7,3,2)*INDEX(Datos!$B$3:$K$12,($A32+1)+1,(I$29+1)+0)+INDEX(Kernels!$G$5:$I$7,3,3)*INDEX(Datos!$B$3:$K$12,($A32+1)+1,(I$29+1)+1))/Kernels!$K$6,"")</f>
        <v>115.125</v>
      </c>
      <c r="J32" s="9">
        <f>IF(AND($A32&gt;=1,$A32&lt;=8,J$29&gt;=1,J$29&lt;=8),(INDEX(Kernels!$G$5:$I$7,1,1)*INDEX(Datos!$B$3:$K$12,($A32+1)+-1,(J$29+1)+-1)+INDEX(Kernels!$G$5:$I$7,1,2)*INDEX(Datos!$B$3:$K$12,($A32+1)+-1,(J$29+1)+0)+INDEX(Kernels!$G$5:$I$7,1,3)*INDEX(Datos!$B$3:$K$12,($A32+1)+-1,(J$29+1)+1)+INDEX(Kernels!$G$5:$I$7,2,1)*INDEX(Datos!$B$3:$K$12,($A32+1)+0,(J$29+1)+-1)+INDEX(Kernels!$G$5:$I$7,2,2)*INDEX(Datos!$B$3:$K$12,($A32+1)+0,(J$29+1)+0)+INDEX(Kernels!$G$5:$I$7,2,3)*INDEX(Datos!$B$3:$K$12,($A32+1)+0,(J$29+1)+1)+INDEX(Kernels!$G$5:$I$7,3,1)*INDEX(Datos!$B$3:$K$12,($A32+1)+1,(J$29+1)+-1)+INDEX(Kernels!$G$5:$I$7,3,2)*INDEX(Datos!$B$3:$K$12,($A32+1)+1,(J$29+1)+0)+INDEX(Kernels!$G$5:$I$7,3,3)*INDEX(Datos!$B$3:$K$12,($A32+1)+1,(J$29+1)+1))/Kernels!$K$6,"")</f>
        <v>110.4375</v>
      </c>
      <c r="K32" s="9" t="str">
        <f>IF(AND($A32&gt;=1,$A32&lt;=8,K$29&gt;=1,K$29&lt;=8),(INDEX(Kernels!$G$5:$I$7,1,1)*INDEX(Datos!$B$3:$K$12,($A32+1)+-1,(K$29+1)+-1)+INDEX(Kernels!$G$5:$I$7,1,2)*INDEX(Datos!$B$3:$K$12,($A32+1)+-1,(K$29+1)+0)+INDEX(Kernels!$G$5:$I$7,1,3)*INDEX(Datos!$B$3:$K$12,($A32+1)+-1,(K$29+1)+1)+INDEX(Kernels!$G$5:$I$7,2,1)*INDEX(Datos!$B$3:$K$12,($A32+1)+0,(K$29+1)+-1)+INDEX(Kernels!$G$5:$I$7,2,2)*INDEX(Datos!$B$3:$K$12,($A32+1)+0,(K$29+1)+0)+INDEX(Kernels!$G$5:$I$7,2,3)*INDEX(Datos!$B$3:$K$12,($A32+1)+0,(K$29+1)+1)+INDEX(Kernels!$G$5:$I$7,3,1)*INDEX(Datos!$B$3:$K$12,($A32+1)+1,(K$29+1)+-1)+INDEX(Kernels!$G$5:$I$7,3,2)*INDEX(Datos!$B$3:$K$12,($A32+1)+1,(K$29+1)+0)+INDEX(Kernels!$G$5:$I$7,3,3)*INDEX(Datos!$B$3:$K$12,($A32+1)+1,(K$29+1)+1))/Kernels!$K$6,"")</f>
        <v/>
      </c>
    </row>
    <row r="33" spans="1:11" ht="24" customHeight="1" x14ac:dyDescent="0.2">
      <c r="A33" s="10">
        <v>3</v>
      </c>
      <c r="B33" s="9" t="str">
        <f>IF(AND($A33&gt;=1,$A33&lt;=8,B$29&gt;=1,B$29&lt;=8),(INDEX(Kernels!$G$5:$I$7,1,1)*INDEX(Datos!$B$3:$K$12,($A33+1)+-1,(B$29+1)+-1)+INDEX(Kernels!$G$5:$I$7,1,2)*INDEX(Datos!$B$3:$K$12,($A33+1)+-1,(B$29+1)+0)+INDEX(Kernels!$G$5:$I$7,1,3)*INDEX(Datos!$B$3:$K$12,($A33+1)+-1,(B$29+1)+1)+INDEX(Kernels!$G$5:$I$7,2,1)*INDEX(Datos!$B$3:$K$12,($A33+1)+0,(B$29+1)+-1)+INDEX(Kernels!$G$5:$I$7,2,2)*INDEX(Datos!$B$3:$K$12,($A33+1)+0,(B$29+1)+0)+INDEX(Kernels!$G$5:$I$7,2,3)*INDEX(Datos!$B$3:$K$12,($A33+1)+0,(B$29+1)+1)+INDEX(Kernels!$G$5:$I$7,3,1)*INDEX(Datos!$B$3:$K$12,($A33+1)+1,(B$29+1)+-1)+INDEX(Kernels!$G$5:$I$7,3,2)*INDEX(Datos!$B$3:$K$12,($A33+1)+1,(B$29+1)+0)+INDEX(Kernels!$G$5:$I$7,3,3)*INDEX(Datos!$B$3:$K$12,($A33+1)+1,(B$29+1)+1))/Kernels!$K$6,"")</f>
        <v/>
      </c>
      <c r="C33" s="9">
        <f>IF(AND($A33&gt;=1,$A33&lt;=8,C$29&gt;=1,C$29&lt;=8),(INDEX(Kernels!$G$5:$I$7,1,1)*INDEX(Datos!$B$3:$K$12,($A33+1)+-1,(C$29+1)+-1)+INDEX(Kernels!$G$5:$I$7,1,2)*INDEX(Datos!$B$3:$K$12,($A33+1)+-1,(C$29+1)+0)+INDEX(Kernels!$G$5:$I$7,1,3)*INDEX(Datos!$B$3:$K$12,($A33+1)+-1,(C$29+1)+1)+INDEX(Kernels!$G$5:$I$7,2,1)*INDEX(Datos!$B$3:$K$12,($A33+1)+0,(C$29+1)+-1)+INDEX(Kernels!$G$5:$I$7,2,2)*INDEX(Datos!$B$3:$K$12,($A33+1)+0,(C$29+1)+0)+INDEX(Kernels!$G$5:$I$7,2,3)*INDEX(Datos!$B$3:$K$12,($A33+1)+0,(C$29+1)+1)+INDEX(Kernels!$G$5:$I$7,3,1)*INDEX(Datos!$B$3:$K$12,($A33+1)+1,(C$29+1)+-1)+INDEX(Kernels!$G$5:$I$7,3,2)*INDEX(Datos!$B$3:$K$12,($A33+1)+1,(C$29+1)+0)+INDEX(Kernels!$G$5:$I$7,3,3)*INDEX(Datos!$B$3:$K$12,($A33+1)+1,(C$29+1)+1))/Kernels!$K$6,"")</f>
        <v>129.8125</v>
      </c>
      <c r="D33" s="9">
        <f>IF(AND($A33&gt;=1,$A33&lt;=8,D$29&gt;=1,D$29&lt;=8),(INDEX(Kernels!$G$5:$I$7,1,1)*INDEX(Datos!$B$3:$K$12,($A33+1)+-1,(D$29+1)+-1)+INDEX(Kernels!$G$5:$I$7,1,2)*INDEX(Datos!$B$3:$K$12,($A33+1)+-1,(D$29+1)+0)+INDEX(Kernels!$G$5:$I$7,1,3)*INDEX(Datos!$B$3:$K$12,($A33+1)+-1,(D$29+1)+1)+INDEX(Kernels!$G$5:$I$7,2,1)*INDEX(Datos!$B$3:$K$12,($A33+1)+0,(D$29+1)+-1)+INDEX(Kernels!$G$5:$I$7,2,2)*INDEX(Datos!$B$3:$K$12,($A33+1)+0,(D$29+1)+0)+INDEX(Kernels!$G$5:$I$7,2,3)*INDEX(Datos!$B$3:$K$12,($A33+1)+0,(D$29+1)+1)+INDEX(Kernels!$G$5:$I$7,3,1)*INDEX(Datos!$B$3:$K$12,($A33+1)+1,(D$29+1)+-1)+INDEX(Kernels!$G$5:$I$7,3,2)*INDEX(Datos!$B$3:$K$12,($A33+1)+1,(D$29+1)+0)+INDEX(Kernels!$G$5:$I$7,3,3)*INDEX(Datos!$B$3:$K$12,($A33+1)+1,(D$29+1)+1))/Kernels!$K$6,"")</f>
        <v>120.6875</v>
      </c>
      <c r="E33" s="9">
        <f>IF(AND($A33&gt;=1,$A33&lt;=8,E$29&gt;=1,E$29&lt;=8),(INDEX(Kernels!$G$5:$I$7,1,1)*INDEX(Datos!$B$3:$K$12,($A33+1)+-1,(E$29+1)+-1)+INDEX(Kernels!$G$5:$I$7,1,2)*INDEX(Datos!$B$3:$K$12,($A33+1)+-1,(E$29+1)+0)+INDEX(Kernels!$G$5:$I$7,1,3)*INDEX(Datos!$B$3:$K$12,($A33+1)+-1,(E$29+1)+1)+INDEX(Kernels!$G$5:$I$7,2,1)*INDEX(Datos!$B$3:$K$12,($A33+1)+0,(E$29+1)+-1)+INDEX(Kernels!$G$5:$I$7,2,2)*INDEX(Datos!$B$3:$K$12,($A33+1)+0,(E$29+1)+0)+INDEX(Kernels!$G$5:$I$7,2,3)*INDEX(Datos!$B$3:$K$12,($A33+1)+0,(E$29+1)+1)+INDEX(Kernels!$G$5:$I$7,3,1)*INDEX(Datos!$B$3:$K$12,($A33+1)+1,(E$29+1)+-1)+INDEX(Kernels!$G$5:$I$7,3,2)*INDEX(Datos!$B$3:$K$12,($A33+1)+1,(E$29+1)+0)+INDEX(Kernels!$G$5:$I$7,3,3)*INDEX(Datos!$B$3:$K$12,($A33+1)+1,(E$29+1)+1))/Kernels!$K$6,"")</f>
        <v>105.25</v>
      </c>
      <c r="F33" s="9">
        <f>IF(AND($A33&gt;=1,$A33&lt;=8,F$29&gt;=1,F$29&lt;=8),(INDEX(Kernels!$G$5:$I$7,1,1)*INDEX(Datos!$B$3:$K$12,($A33+1)+-1,(F$29+1)+-1)+INDEX(Kernels!$G$5:$I$7,1,2)*INDEX(Datos!$B$3:$K$12,($A33+1)+-1,(F$29+1)+0)+INDEX(Kernels!$G$5:$I$7,1,3)*INDEX(Datos!$B$3:$K$12,($A33+1)+-1,(F$29+1)+1)+INDEX(Kernels!$G$5:$I$7,2,1)*INDEX(Datos!$B$3:$K$12,($A33+1)+0,(F$29+1)+-1)+INDEX(Kernels!$G$5:$I$7,2,2)*INDEX(Datos!$B$3:$K$12,($A33+1)+0,(F$29+1)+0)+INDEX(Kernels!$G$5:$I$7,2,3)*INDEX(Datos!$B$3:$K$12,($A33+1)+0,(F$29+1)+1)+INDEX(Kernels!$G$5:$I$7,3,1)*INDEX(Datos!$B$3:$K$12,($A33+1)+1,(F$29+1)+-1)+INDEX(Kernels!$G$5:$I$7,3,2)*INDEX(Datos!$B$3:$K$12,($A33+1)+1,(F$29+1)+0)+INDEX(Kernels!$G$5:$I$7,3,3)*INDEX(Datos!$B$3:$K$12,($A33+1)+1,(F$29+1)+1))/Kernels!$K$6,"")</f>
        <v>92.3125</v>
      </c>
      <c r="G33" s="9">
        <f>IF(AND($A33&gt;=1,$A33&lt;=8,G$29&gt;=1,G$29&lt;=8),(INDEX(Kernels!$G$5:$I$7,1,1)*INDEX(Datos!$B$3:$K$12,($A33+1)+-1,(G$29+1)+-1)+INDEX(Kernels!$G$5:$I$7,1,2)*INDEX(Datos!$B$3:$K$12,($A33+1)+-1,(G$29+1)+0)+INDEX(Kernels!$G$5:$I$7,1,3)*INDEX(Datos!$B$3:$K$12,($A33+1)+-1,(G$29+1)+1)+INDEX(Kernels!$G$5:$I$7,2,1)*INDEX(Datos!$B$3:$K$12,($A33+1)+0,(G$29+1)+-1)+INDEX(Kernels!$G$5:$I$7,2,2)*INDEX(Datos!$B$3:$K$12,($A33+1)+0,(G$29+1)+0)+INDEX(Kernels!$G$5:$I$7,2,3)*INDEX(Datos!$B$3:$K$12,($A33+1)+0,(G$29+1)+1)+INDEX(Kernels!$G$5:$I$7,3,1)*INDEX(Datos!$B$3:$K$12,($A33+1)+1,(G$29+1)+-1)+INDEX(Kernels!$G$5:$I$7,3,2)*INDEX(Datos!$B$3:$K$12,($A33+1)+1,(G$29+1)+0)+INDEX(Kernels!$G$5:$I$7,3,3)*INDEX(Datos!$B$3:$K$12,($A33+1)+1,(G$29+1)+1))/Kernels!$K$6,"")</f>
        <v>95.875</v>
      </c>
      <c r="H33" s="9">
        <f>IF(AND($A33&gt;=1,$A33&lt;=8,H$29&gt;=1,H$29&lt;=8),(INDEX(Kernels!$G$5:$I$7,1,1)*INDEX(Datos!$B$3:$K$12,($A33+1)+-1,(H$29+1)+-1)+INDEX(Kernels!$G$5:$I$7,1,2)*INDEX(Datos!$B$3:$K$12,($A33+1)+-1,(H$29+1)+0)+INDEX(Kernels!$G$5:$I$7,1,3)*INDEX(Datos!$B$3:$K$12,($A33+1)+-1,(H$29+1)+1)+INDEX(Kernels!$G$5:$I$7,2,1)*INDEX(Datos!$B$3:$K$12,($A33+1)+0,(H$29+1)+-1)+INDEX(Kernels!$G$5:$I$7,2,2)*INDEX(Datos!$B$3:$K$12,($A33+1)+0,(H$29+1)+0)+INDEX(Kernels!$G$5:$I$7,2,3)*INDEX(Datos!$B$3:$K$12,($A33+1)+0,(H$29+1)+1)+INDEX(Kernels!$G$5:$I$7,3,1)*INDEX(Datos!$B$3:$K$12,($A33+1)+1,(H$29+1)+-1)+INDEX(Kernels!$G$5:$I$7,3,2)*INDEX(Datos!$B$3:$K$12,($A33+1)+1,(H$29+1)+0)+INDEX(Kernels!$G$5:$I$7,3,3)*INDEX(Datos!$B$3:$K$12,($A33+1)+1,(H$29+1)+1))/Kernels!$K$6,"")</f>
        <v>118.125</v>
      </c>
      <c r="I33" s="9">
        <f>IF(AND($A33&gt;=1,$A33&lt;=8,I$29&gt;=1,I$29&lt;=8),(INDEX(Kernels!$G$5:$I$7,1,1)*INDEX(Datos!$B$3:$K$12,($A33+1)+-1,(I$29+1)+-1)+INDEX(Kernels!$G$5:$I$7,1,2)*INDEX(Datos!$B$3:$K$12,($A33+1)+-1,(I$29+1)+0)+INDEX(Kernels!$G$5:$I$7,1,3)*INDEX(Datos!$B$3:$K$12,($A33+1)+-1,(I$29+1)+1)+INDEX(Kernels!$G$5:$I$7,2,1)*INDEX(Datos!$B$3:$K$12,($A33+1)+0,(I$29+1)+-1)+INDEX(Kernels!$G$5:$I$7,2,2)*INDEX(Datos!$B$3:$K$12,($A33+1)+0,(I$29+1)+0)+INDEX(Kernels!$G$5:$I$7,2,3)*INDEX(Datos!$B$3:$K$12,($A33+1)+0,(I$29+1)+1)+INDEX(Kernels!$G$5:$I$7,3,1)*INDEX(Datos!$B$3:$K$12,($A33+1)+1,(I$29+1)+-1)+INDEX(Kernels!$G$5:$I$7,3,2)*INDEX(Datos!$B$3:$K$12,($A33+1)+1,(I$29+1)+0)+INDEX(Kernels!$G$5:$I$7,3,3)*INDEX(Datos!$B$3:$K$12,($A33+1)+1,(I$29+1)+1))/Kernels!$K$6,"")</f>
        <v>135.875</v>
      </c>
      <c r="J33" s="9">
        <f>IF(AND($A33&gt;=1,$A33&lt;=8,J$29&gt;=1,J$29&lt;=8),(INDEX(Kernels!$G$5:$I$7,1,1)*INDEX(Datos!$B$3:$K$12,($A33+1)+-1,(J$29+1)+-1)+INDEX(Kernels!$G$5:$I$7,1,2)*INDEX(Datos!$B$3:$K$12,($A33+1)+-1,(J$29+1)+0)+INDEX(Kernels!$G$5:$I$7,1,3)*INDEX(Datos!$B$3:$K$12,($A33+1)+-1,(J$29+1)+1)+INDEX(Kernels!$G$5:$I$7,2,1)*INDEX(Datos!$B$3:$K$12,($A33+1)+0,(J$29+1)+-1)+INDEX(Kernels!$G$5:$I$7,2,2)*INDEX(Datos!$B$3:$K$12,($A33+1)+0,(J$29+1)+0)+INDEX(Kernels!$G$5:$I$7,2,3)*INDEX(Datos!$B$3:$K$12,($A33+1)+0,(J$29+1)+1)+INDEX(Kernels!$G$5:$I$7,3,1)*INDEX(Datos!$B$3:$K$12,($A33+1)+1,(J$29+1)+-1)+INDEX(Kernels!$G$5:$I$7,3,2)*INDEX(Datos!$B$3:$K$12,($A33+1)+1,(J$29+1)+0)+INDEX(Kernels!$G$5:$I$7,3,3)*INDEX(Datos!$B$3:$K$12,($A33+1)+1,(J$29+1)+1))/Kernels!$K$6,"")</f>
        <v>138.1875</v>
      </c>
      <c r="K33" s="9" t="str">
        <f>IF(AND($A33&gt;=1,$A33&lt;=8,K$29&gt;=1,K$29&lt;=8),(INDEX(Kernels!$G$5:$I$7,1,1)*INDEX(Datos!$B$3:$K$12,($A33+1)+-1,(K$29+1)+-1)+INDEX(Kernels!$G$5:$I$7,1,2)*INDEX(Datos!$B$3:$K$12,($A33+1)+-1,(K$29+1)+0)+INDEX(Kernels!$G$5:$I$7,1,3)*INDEX(Datos!$B$3:$K$12,($A33+1)+-1,(K$29+1)+1)+INDEX(Kernels!$G$5:$I$7,2,1)*INDEX(Datos!$B$3:$K$12,($A33+1)+0,(K$29+1)+-1)+INDEX(Kernels!$G$5:$I$7,2,2)*INDEX(Datos!$B$3:$K$12,($A33+1)+0,(K$29+1)+0)+INDEX(Kernels!$G$5:$I$7,2,3)*INDEX(Datos!$B$3:$K$12,($A33+1)+0,(K$29+1)+1)+INDEX(Kernels!$G$5:$I$7,3,1)*INDEX(Datos!$B$3:$K$12,($A33+1)+1,(K$29+1)+-1)+INDEX(Kernels!$G$5:$I$7,3,2)*INDEX(Datos!$B$3:$K$12,($A33+1)+1,(K$29+1)+0)+INDEX(Kernels!$G$5:$I$7,3,3)*INDEX(Datos!$B$3:$K$12,($A33+1)+1,(K$29+1)+1))/Kernels!$K$6,"")</f>
        <v/>
      </c>
    </row>
    <row r="34" spans="1:11" ht="24" customHeight="1" x14ac:dyDescent="0.2">
      <c r="A34" s="10">
        <v>4</v>
      </c>
      <c r="B34" s="9" t="str">
        <f>IF(AND($A34&gt;=1,$A34&lt;=8,B$29&gt;=1,B$29&lt;=8),(INDEX(Kernels!$G$5:$I$7,1,1)*INDEX(Datos!$B$3:$K$12,($A34+1)+-1,(B$29+1)+-1)+INDEX(Kernels!$G$5:$I$7,1,2)*INDEX(Datos!$B$3:$K$12,($A34+1)+-1,(B$29+1)+0)+INDEX(Kernels!$G$5:$I$7,1,3)*INDEX(Datos!$B$3:$K$12,($A34+1)+-1,(B$29+1)+1)+INDEX(Kernels!$G$5:$I$7,2,1)*INDEX(Datos!$B$3:$K$12,($A34+1)+0,(B$29+1)+-1)+INDEX(Kernels!$G$5:$I$7,2,2)*INDEX(Datos!$B$3:$K$12,($A34+1)+0,(B$29+1)+0)+INDEX(Kernels!$G$5:$I$7,2,3)*INDEX(Datos!$B$3:$K$12,($A34+1)+0,(B$29+1)+1)+INDEX(Kernels!$G$5:$I$7,3,1)*INDEX(Datos!$B$3:$K$12,($A34+1)+1,(B$29+1)+-1)+INDEX(Kernels!$G$5:$I$7,3,2)*INDEX(Datos!$B$3:$K$12,($A34+1)+1,(B$29+1)+0)+INDEX(Kernels!$G$5:$I$7,3,3)*INDEX(Datos!$B$3:$K$12,($A34+1)+1,(B$29+1)+1))/Kernels!$K$6,"")</f>
        <v/>
      </c>
      <c r="C34" s="9">
        <f>IF(AND($A34&gt;=1,$A34&lt;=8,C$29&gt;=1,C$29&lt;=8),(INDEX(Kernels!$G$5:$I$7,1,1)*INDEX(Datos!$B$3:$K$12,($A34+1)+-1,(C$29+1)+-1)+INDEX(Kernels!$G$5:$I$7,1,2)*INDEX(Datos!$B$3:$K$12,($A34+1)+-1,(C$29+1)+0)+INDEX(Kernels!$G$5:$I$7,1,3)*INDEX(Datos!$B$3:$K$12,($A34+1)+-1,(C$29+1)+1)+INDEX(Kernels!$G$5:$I$7,2,1)*INDEX(Datos!$B$3:$K$12,($A34+1)+0,(C$29+1)+-1)+INDEX(Kernels!$G$5:$I$7,2,2)*INDEX(Datos!$B$3:$K$12,($A34+1)+0,(C$29+1)+0)+INDEX(Kernels!$G$5:$I$7,2,3)*INDEX(Datos!$B$3:$K$12,($A34+1)+0,(C$29+1)+1)+INDEX(Kernels!$G$5:$I$7,3,1)*INDEX(Datos!$B$3:$K$12,($A34+1)+1,(C$29+1)+-1)+INDEX(Kernels!$G$5:$I$7,3,2)*INDEX(Datos!$B$3:$K$12,($A34+1)+1,(C$29+1)+0)+INDEX(Kernels!$G$5:$I$7,3,3)*INDEX(Datos!$B$3:$K$12,($A34+1)+1,(C$29+1)+1))/Kernels!$K$6,"")</f>
        <v>122.0625</v>
      </c>
      <c r="D34" s="9">
        <f>IF(AND($A34&gt;=1,$A34&lt;=8,D$29&gt;=1,D$29&lt;=8),(INDEX(Kernels!$G$5:$I$7,1,1)*INDEX(Datos!$B$3:$K$12,($A34+1)+-1,(D$29+1)+-1)+INDEX(Kernels!$G$5:$I$7,1,2)*INDEX(Datos!$B$3:$K$12,($A34+1)+-1,(D$29+1)+0)+INDEX(Kernels!$G$5:$I$7,1,3)*INDEX(Datos!$B$3:$K$12,($A34+1)+-1,(D$29+1)+1)+INDEX(Kernels!$G$5:$I$7,2,1)*INDEX(Datos!$B$3:$K$12,($A34+1)+0,(D$29+1)+-1)+INDEX(Kernels!$G$5:$I$7,2,2)*INDEX(Datos!$B$3:$K$12,($A34+1)+0,(D$29+1)+0)+INDEX(Kernels!$G$5:$I$7,2,3)*INDEX(Datos!$B$3:$K$12,($A34+1)+0,(D$29+1)+1)+INDEX(Kernels!$G$5:$I$7,3,1)*INDEX(Datos!$B$3:$K$12,($A34+1)+1,(D$29+1)+-1)+INDEX(Kernels!$G$5:$I$7,3,2)*INDEX(Datos!$B$3:$K$12,($A34+1)+1,(D$29+1)+0)+INDEX(Kernels!$G$5:$I$7,3,3)*INDEX(Datos!$B$3:$K$12,($A34+1)+1,(D$29+1)+1))/Kernels!$K$6,"")</f>
        <v>104.75</v>
      </c>
      <c r="E34" s="9">
        <f>IF(AND($A34&gt;=1,$A34&lt;=8,E$29&gt;=1,E$29&lt;=8),(INDEX(Kernels!$G$5:$I$7,1,1)*INDEX(Datos!$B$3:$K$12,($A34+1)+-1,(E$29+1)+-1)+INDEX(Kernels!$G$5:$I$7,1,2)*INDEX(Datos!$B$3:$K$12,($A34+1)+-1,(E$29+1)+0)+INDEX(Kernels!$G$5:$I$7,1,3)*INDEX(Datos!$B$3:$K$12,($A34+1)+-1,(E$29+1)+1)+INDEX(Kernels!$G$5:$I$7,2,1)*INDEX(Datos!$B$3:$K$12,($A34+1)+0,(E$29+1)+-1)+INDEX(Kernels!$G$5:$I$7,2,2)*INDEX(Datos!$B$3:$K$12,($A34+1)+0,(E$29+1)+0)+INDEX(Kernels!$G$5:$I$7,2,3)*INDEX(Datos!$B$3:$K$12,($A34+1)+0,(E$29+1)+1)+INDEX(Kernels!$G$5:$I$7,3,1)*INDEX(Datos!$B$3:$K$12,($A34+1)+1,(E$29+1)+-1)+INDEX(Kernels!$G$5:$I$7,3,2)*INDEX(Datos!$B$3:$K$12,($A34+1)+1,(E$29+1)+0)+INDEX(Kernels!$G$5:$I$7,3,3)*INDEX(Datos!$B$3:$K$12,($A34+1)+1,(E$29+1)+1))/Kernels!$K$6,"")</f>
        <v>92.125</v>
      </c>
      <c r="F34" s="9">
        <f>IF(AND($A34&gt;=1,$A34&lt;=8,F$29&gt;=1,F$29&lt;=8),(INDEX(Kernels!$G$5:$I$7,1,1)*INDEX(Datos!$B$3:$K$12,($A34+1)+-1,(F$29+1)+-1)+INDEX(Kernels!$G$5:$I$7,1,2)*INDEX(Datos!$B$3:$K$12,($A34+1)+-1,(F$29+1)+0)+INDEX(Kernels!$G$5:$I$7,1,3)*INDEX(Datos!$B$3:$K$12,($A34+1)+-1,(F$29+1)+1)+INDEX(Kernels!$G$5:$I$7,2,1)*INDEX(Datos!$B$3:$K$12,($A34+1)+0,(F$29+1)+-1)+INDEX(Kernels!$G$5:$I$7,2,2)*INDEX(Datos!$B$3:$K$12,($A34+1)+0,(F$29+1)+0)+INDEX(Kernels!$G$5:$I$7,2,3)*INDEX(Datos!$B$3:$K$12,($A34+1)+0,(F$29+1)+1)+INDEX(Kernels!$G$5:$I$7,3,1)*INDEX(Datos!$B$3:$K$12,($A34+1)+1,(F$29+1)+-1)+INDEX(Kernels!$G$5:$I$7,3,2)*INDEX(Datos!$B$3:$K$12,($A34+1)+1,(F$29+1)+0)+INDEX(Kernels!$G$5:$I$7,3,3)*INDEX(Datos!$B$3:$K$12,($A34+1)+1,(F$29+1)+1))/Kernels!$K$6,"")</f>
        <v>90.5</v>
      </c>
      <c r="G34" s="9">
        <f>IF(AND($A34&gt;=1,$A34&lt;=8,G$29&gt;=1,G$29&lt;=8),(INDEX(Kernels!$G$5:$I$7,1,1)*INDEX(Datos!$B$3:$K$12,($A34+1)+-1,(G$29+1)+-1)+INDEX(Kernels!$G$5:$I$7,1,2)*INDEX(Datos!$B$3:$K$12,($A34+1)+-1,(G$29+1)+0)+INDEX(Kernels!$G$5:$I$7,1,3)*INDEX(Datos!$B$3:$K$12,($A34+1)+-1,(G$29+1)+1)+INDEX(Kernels!$G$5:$I$7,2,1)*INDEX(Datos!$B$3:$K$12,($A34+1)+0,(G$29+1)+-1)+INDEX(Kernels!$G$5:$I$7,2,2)*INDEX(Datos!$B$3:$K$12,($A34+1)+0,(G$29+1)+0)+INDEX(Kernels!$G$5:$I$7,2,3)*INDEX(Datos!$B$3:$K$12,($A34+1)+0,(G$29+1)+1)+INDEX(Kernels!$G$5:$I$7,3,1)*INDEX(Datos!$B$3:$K$12,($A34+1)+1,(G$29+1)+-1)+INDEX(Kernels!$G$5:$I$7,3,2)*INDEX(Datos!$B$3:$K$12,($A34+1)+1,(G$29+1)+0)+INDEX(Kernels!$G$5:$I$7,3,3)*INDEX(Datos!$B$3:$K$12,($A34+1)+1,(G$29+1)+1))/Kernels!$K$6,"")</f>
        <v>103.125</v>
      </c>
      <c r="H34" s="9">
        <f>IF(AND($A34&gt;=1,$A34&lt;=8,H$29&gt;=1,H$29&lt;=8),(INDEX(Kernels!$G$5:$I$7,1,1)*INDEX(Datos!$B$3:$K$12,($A34+1)+-1,(H$29+1)+-1)+INDEX(Kernels!$G$5:$I$7,1,2)*INDEX(Datos!$B$3:$K$12,($A34+1)+-1,(H$29+1)+0)+INDEX(Kernels!$G$5:$I$7,1,3)*INDEX(Datos!$B$3:$K$12,($A34+1)+-1,(H$29+1)+1)+INDEX(Kernels!$G$5:$I$7,2,1)*INDEX(Datos!$B$3:$K$12,($A34+1)+0,(H$29+1)+-1)+INDEX(Kernels!$G$5:$I$7,2,2)*INDEX(Datos!$B$3:$K$12,($A34+1)+0,(H$29+1)+0)+INDEX(Kernels!$G$5:$I$7,2,3)*INDEX(Datos!$B$3:$K$12,($A34+1)+0,(H$29+1)+1)+INDEX(Kernels!$G$5:$I$7,3,1)*INDEX(Datos!$B$3:$K$12,($A34+1)+1,(H$29+1)+-1)+INDEX(Kernels!$G$5:$I$7,3,2)*INDEX(Datos!$B$3:$K$12,($A34+1)+1,(H$29+1)+0)+INDEX(Kernels!$G$5:$I$7,3,3)*INDEX(Datos!$B$3:$K$12,($A34+1)+1,(H$29+1)+1))/Kernels!$K$6,"")</f>
        <v>126</v>
      </c>
      <c r="I34" s="9">
        <f>IF(AND($A34&gt;=1,$A34&lt;=8,I$29&gt;=1,I$29&lt;=8),(INDEX(Kernels!$G$5:$I$7,1,1)*INDEX(Datos!$B$3:$K$12,($A34+1)+-1,(I$29+1)+-1)+INDEX(Kernels!$G$5:$I$7,1,2)*INDEX(Datos!$B$3:$K$12,($A34+1)+-1,(I$29+1)+0)+INDEX(Kernels!$G$5:$I$7,1,3)*INDEX(Datos!$B$3:$K$12,($A34+1)+-1,(I$29+1)+1)+INDEX(Kernels!$G$5:$I$7,2,1)*INDEX(Datos!$B$3:$K$12,($A34+1)+0,(I$29+1)+-1)+INDEX(Kernels!$G$5:$I$7,2,2)*INDEX(Datos!$B$3:$K$12,($A34+1)+0,(I$29+1)+0)+INDEX(Kernels!$G$5:$I$7,2,3)*INDEX(Datos!$B$3:$K$12,($A34+1)+0,(I$29+1)+1)+INDEX(Kernels!$G$5:$I$7,3,1)*INDEX(Datos!$B$3:$K$12,($A34+1)+1,(I$29+1)+-1)+INDEX(Kernels!$G$5:$I$7,3,2)*INDEX(Datos!$B$3:$K$12,($A34+1)+1,(I$29+1)+0)+INDEX(Kernels!$G$5:$I$7,3,3)*INDEX(Datos!$B$3:$K$12,($A34+1)+1,(I$29+1)+1))/Kernels!$K$6,"")</f>
        <v>138.1875</v>
      </c>
      <c r="J34" s="9">
        <f>IF(AND($A34&gt;=1,$A34&lt;=8,J$29&gt;=1,J$29&lt;=8),(INDEX(Kernels!$G$5:$I$7,1,1)*INDEX(Datos!$B$3:$K$12,($A34+1)+-1,(J$29+1)+-1)+INDEX(Kernels!$G$5:$I$7,1,2)*INDEX(Datos!$B$3:$K$12,($A34+1)+-1,(J$29+1)+0)+INDEX(Kernels!$G$5:$I$7,1,3)*INDEX(Datos!$B$3:$K$12,($A34+1)+-1,(J$29+1)+1)+INDEX(Kernels!$G$5:$I$7,2,1)*INDEX(Datos!$B$3:$K$12,($A34+1)+0,(J$29+1)+-1)+INDEX(Kernels!$G$5:$I$7,2,2)*INDEX(Datos!$B$3:$K$12,($A34+1)+0,(J$29+1)+0)+INDEX(Kernels!$G$5:$I$7,2,3)*INDEX(Datos!$B$3:$K$12,($A34+1)+0,(J$29+1)+1)+INDEX(Kernels!$G$5:$I$7,3,1)*INDEX(Datos!$B$3:$K$12,($A34+1)+1,(J$29+1)+-1)+INDEX(Kernels!$G$5:$I$7,3,2)*INDEX(Datos!$B$3:$K$12,($A34+1)+1,(J$29+1)+0)+INDEX(Kernels!$G$5:$I$7,3,3)*INDEX(Datos!$B$3:$K$12,($A34+1)+1,(J$29+1)+1))/Kernels!$K$6,"")</f>
        <v>135.0625</v>
      </c>
      <c r="K34" s="9" t="str">
        <f>IF(AND($A34&gt;=1,$A34&lt;=8,K$29&gt;=1,K$29&lt;=8),(INDEX(Kernels!$G$5:$I$7,1,1)*INDEX(Datos!$B$3:$K$12,($A34+1)+-1,(K$29+1)+-1)+INDEX(Kernels!$G$5:$I$7,1,2)*INDEX(Datos!$B$3:$K$12,($A34+1)+-1,(K$29+1)+0)+INDEX(Kernels!$G$5:$I$7,1,3)*INDEX(Datos!$B$3:$K$12,($A34+1)+-1,(K$29+1)+1)+INDEX(Kernels!$G$5:$I$7,2,1)*INDEX(Datos!$B$3:$K$12,($A34+1)+0,(K$29+1)+-1)+INDEX(Kernels!$G$5:$I$7,2,2)*INDEX(Datos!$B$3:$K$12,($A34+1)+0,(K$29+1)+0)+INDEX(Kernels!$G$5:$I$7,2,3)*INDEX(Datos!$B$3:$K$12,($A34+1)+0,(K$29+1)+1)+INDEX(Kernels!$G$5:$I$7,3,1)*INDEX(Datos!$B$3:$K$12,($A34+1)+1,(K$29+1)+-1)+INDEX(Kernels!$G$5:$I$7,3,2)*INDEX(Datos!$B$3:$K$12,($A34+1)+1,(K$29+1)+0)+INDEX(Kernels!$G$5:$I$7,3,3)*INDEX(Datos!$B$3:$K$12,($A34+1)+1,(K$29+1)+1))/Kernels!$K$6,"")</f>
        <v/>
      </c>
    </row>
    <row r="35" spans="1:11" ht="24" customHeight="1" x14ac:dyDescent="0.2">
      <c r="A35" s="10">
        <v>5</v>
      </c>
      <c r="B35" s="9" t="str">
        <f>IF(AND($A35&gt;=1,$A35&lt;=8,B$29&gt;=1,B$29&lt;=8),(INDEX(Kernels!$G$5:$I$7,1,1)*INDEX(Datos!$B$3:$K$12,($A35+1)+-1,(B$29+1)+-1)+INDEX(Kernels!$G$5:$I$7,1,2)*INDEX(Datos!$B$3:$K$12,($A35+1)+-1,(B$29+1)+0)+INDEX(Kernels!$G$5:$I$7,1,3)*INDEX(Datos!$B$3:$K$12,($A35+1)+-1,(B$29+1)+1)+INDEX(Kernels!$G$5:$I$7,2,1)*INDEX(Datos!$B$3:$K$12,($A35+1)+0,(B$29+1)+-1)+INDEX(Kernels!$G$5:$I$7,2,2)*INDEX(Datos!$B$3:$K$12,($A35+1)+0,(B$29+1)+0)+INDEX(Kernels!$G$5:$I$7,2,3)*INDEX(Datos!$B$3:$K$12,($A35+1)+0,(B$29+1)+1)+INDEX(Kernels!$G$5:$I$7,3,1)*INDEX(Datos!$B$3:$K$12,($A35+1)+1,(B$29+1)+-1)+INDEX(Kernels!$G$5:$I$7,3,2)*INDEX(Datos!$B$3:$K$12,($A35+1)+1,(B$29+1)+0)+INDEX(Kernels!$G$5:$I$7,3,3)*INDEX(Datos!$B$3:$K$12,($A35+1)+1,(B$29+1)+1))/Kernels!$K$6,"")</f>
        <v/>
      </c>
      <c r="C35" s="9">
        <f>IF(AND($A35&gt;=1,$A35&lt;=8,C$29&gt;=1,C$29&lt;=8),(INDEX(Kernels!$G$5:$I$7,1,1)*INDEX(Datos!$B$3:$K$12,($A35+1)+-1,(C$29+1)+-1)+INDEX(Kernels!$G$5:$I$7,1,2)*INDEX(Datos!$B$3:$K$12,($A35+1)+-1,(C$29+1)+0)+INDEX(Kernels!$G$5:$I$7,1,3)*INDEX(Datos!$B$3:$K$12,($A35+1)+-1,(C$29+1)+1)+INDEX(Kernels!$G$5:$I$7,2,1)*INDEX(Datos!$B$3:$K$12,($A35+1)+0,(C$29+1)+-1)+INDEX(Kernels!$G$5:$I$7,2,2)*INDEX(Datos!$B$3:$K$12,($A35+1)+0,(C$29+1)+0)+INDEX(Kernels!$G$5:$I$7,2,3)*INDEX(Datos!$B$3:$K$12,($A35+1)+0,(C$29+1)+1)+INDEX(Kernels!$G$5:$I$7,3,1)*INDEX(Datos!$B$3:$K$12,($A35+1)+1,(C$29+1)+-1)+INDEX(Kernels!$G$5:$I$7,3,2)*INDEX(Datos!$B$3:$K$12,($A35+1)+1,(C$29+1)+0)+INDEX(Kernels!$G$5:$I$7,3,3)*INDEX(Datos!$B$3:$K$12,($A35+1)+1,(C$29+1)+1))/Kernels!$K$6,"")</f>
        <v>98.75</v>
      </c>
      <c r="D35" s="9">
        <f>IF(AND($A35&gt;=1,$A35&lt;=8,D$29&gt;=1,D$29&lt;=8),(INDEX(Kernels!$G$5:$I$7,1,1)*INDEX(Datos!$B$3:$K$12,($A35+1)+-1,(D$29+1)+-1)+INDEX(Kernels!$G$5:$I$7,1,2)*INDEX(Datos!$B$3:$K$12,($A35+1)+-1,(D$29+1)+0)+INDEX(Kernels!$G$5:$I$7,1,3)*INDEX(Datos!$B$3:$K$12,($A35+1)+-1,(D$29+1)+1)+INDEX(Kernels!$G$5:$I$7,2,1)*INDEX(Datos!$B$3:$K$12,($A35+1)+0,(D$29+1)+-1)+INDEX(Kernels!$G$5:$I$7,2,2)*INDEX(Datos!$B$3:$K$12,($A35+1)+0,(D$29+1)+0)+INDEX(Kernels!$G$5:$I$7,2,3)*INDEX(Datos!$B$3:$K$12,($A35+1)+0,(D$29+1)+1)+INDEX(Kernels!$G$5:$I$7,3,1)*INDEX(Datos!$B$3:$K$12,($A35+1)+1,(D$29+1)+-1)+INDEX(Kernels!$G$5:$I$7,3,2)*INDEX(Datos!$B$3:$K$12,($A35+1)+1,(D$29+1)+0)+INDEX(Kernels!$G$5:$I$7,3,3)*INDEX(Datos!$B$3:$K$12,($A35+1)+1,(D$29+1)+1))/Kernels!$K$6,"")</f>
        <v>90</v>
      </c>
      <c r="E35" s="9">
        <f>IF(AND($A35&gt;=1,$A35&lt;=8,E$29&gt;=1,E$29&lt;=8),(INDEX(Kernels!$G$5:$I$7,1,1)*INDEX(Datos!$B$3:$K$12,($A35+1)+-1,(E$29+1)+-1)+INDEX(Kernels!$G$5:$I$7,1,2)*INDEX(Datos!$B$3:$K$12,($A35+1)+-1,(E$29+1)+0)+INDEX(Kernels!$G$5:$I$7,1,3)*INDEX(Datos!$B$3:$K$12,($A35+1)+-1,(E$29+1)+1)+INDEX(Kernels!$G$5:$I$7,2,1)*INDEX(Datos!$B$3:$K$12,($A35+1)+0,(E$29+1)+-1)+INDEX(Kernels!$G$5:$I$7,2,2)*INDEX(Datos!$B$3:$K$12,($A35+1)+0,(E$29+1)+0)+INDEX(Kernels!$G$5:$I$7,2,3)*INDEX(Datos!$B$3:$K$12,($A35+1)+0,(E$29+1)+1)+INDEX(Kernels!$G$5:$I$7,3,1)*INDEX(Datos!$B$3:$K$12,($A35+1)+1,(E$29+1)+-1)+INDEX(Kernels!$G$5:$I$7,3,2)*INDEX(Datos!$B$3:$K$12,($A35+1)+1,(E$29+1)+0)+INDEX(Kernels!$G$5:$I$7,3,3)*INDEX(Datos!$B$3:$K$12,($A35+1)+1,(E$29+1)+1))/Kernels!$K$6,"")</f>
        <v>91.5</v>
      </c>
      <c r="F35" s="9">
        <f>IF(AND($A35&gt;=1,$A35&lt;=8,F$29&gt;=1,F$29&lt;=8),(INDEX(Kernels!$G$5:$I$7,1,1)*INDEX(Datos!$B$3:$K$12,($A35+1)+-1,(F$29+1)+-1)+INDEX(Kernels!$G$5:$I$7,1,2)*INDEX(Datos!$B$3:$K$12,($A35+1)+-1,(F$29+1)+0)+INDEX(Kernels!$G$5:$I$7,1,3)*INDEX(Datos!$B$3:$K$12,($A35+1)+-1,(F$29+1)+1)+INDEX(Kernels!$G$5:$I$7,2,1)*INDEX(Datos!$B$3:$K$12,($A35+1)+0,(F$29+1)+-1)+INDEX(Kernels!$G$5:$I$7,2,2)*INDEX(Datos!$B$3:$K$12,($A35+1)+0,(F$29+1)+0)+INDEX(Kernels!$G$5:$I$7,2,3)*INDEX(Datos!$B$3:$K$12,($A35+1)+0,(F$29+1)+1)+INDEX(Kernels!$G$5:$I$7,3,1)*INDEX(Datos!$B$3:$K$12,($A35+1)+1,(F$29+1)+-1)+INDEX(Kernels!$G$5:$I$7,3,2)*INDEX(Datos!$B$3:$K$12,($A35+1)+1,(F$29+1)+0)+INDEX(Kernels!$G$5:$I$7,3,3)*INDEX(Datos!$B$3:$K$12,($A35+1)+1,(F$29+1)+1))/Kernels!$K$6,"")</f>
        <v>102</v>
      </c>
      <c r="G35" s="9">
        <f>IF(AND($A35&gt;=1,$A35&lt;=8,G$29&gt;=1,G$29&lt;=8),(INDEX(Kernels!$G$5:$I$7,1,1)*INDEX(Datos!$B$3:$K$12,($A35+1)+-1,(G$29+1)+-1)+INDEX(Kernels!$G$5:$I$7,1,2)*INDEX(Datos!$B$3:$K$12,($A35+1)+-1,(G$29+1)+0)+INDEX(Kernels!$G$5:$I$7,1,3)*INDEX(Datos!$B$3:$K$12,($A35+1)+-1,(G$29+1)+1)+INDEX(Kernels!$G$5:$I$7,2,1)*INDEX(Datos!$B$3:$K$12,($A35+1)+0,(G$29+1)+-1)+INDEX(Kernels!$G$5:$I$7,2,2)*INDEX(Datos!$B$3:$K$12,($A35+1)+0,(G$29+1)+0)+INDEX(Kernels!$G$5:$I$7,2,3)*INDEX(Datos!$B$3:$K$12,($A35+1)+0,(G$29+1)+1)+INDEX(Kernels!$G$5:$I$7,3,1)*INDEX(Datos!$B$3:$K$12,($A35+1)+1,(G$29+1)+-1)+INDEX(Kernels!$G$5:$I$7,3,2)*INDEX(Datos!$B$3:$K$12,($A35+1)+1,(G$29+1)+0)+INDEX(Kernels!$G$5:$I$7,3,3)*INDEX(Datos!$B$3:$K$12,($A35+1)+1,(G$29+1)+1))/Kernels!$K$6,"")</f>
        <v>116.4375</v>
      </c>
      <c r="H35" s="9">
        <f>IF(AND($A35&gt;=1,$A35&lt;=8,H$29&gt;=1,H$29&lt;=8),(INDEX(Kernels!$G$5:$I$7,1,1)*INDEX(Datos!$B$3:$K$12,($A35+1)+-1,(H$29+1)+-1)+INDEX(Kernels!$G$5:$I$7,1,2)*INDEX(Datos!$B$3:$K$12,($A35+1)+-1,(H$29+1)+0)+INDEX(Kernels!$G$5:$I$7,1,3)*INDEX(Datos!$B$3:$K$12,($A35+1)+-1,(H$29+1)+1)+INDEX(Kernels!$G$5:$I$7,2,1)*INDEX(Datos!$B$3:$K$12,($A35+1)+0,(H$29+1)+-1)+INDEX(Kernels!$G$5:$I$7,2,2)*INDEX(Datos!$B$3:$K$12,($A35+1)+0,(H$29+1)+0)+INDEX(Kernels!$G$5:$I$7,2,3)*INDEX(Datos!$B$3:$K$12,($A35+1)+0,(H$29+1)+1)+INDEX(Kernels!$G$5:$I$7,3,1)*INDEX(Datos!$B$3:$K$12,($A35+1)+1,(H$29+1)+-1)+INDEX(Kernels!$G$5:$I$7,3,2)*INDEX(Datos!$B$3:$K$12,($A35+1)+1,(H$29+1)+0)+INDEX(Kernels!$G$5:$I$7,3,3)*INDEX(Datos!$B$3:$K$12,($A35+1)+1,(H$29+1)+1))/Kernels!$K$6,"")</f>
        <v>130.9375</v>
      </c>
      <c r="I35" s="9">
        <f>IF(AND($A35&gt;=1,$A35&lt;=8,I$29&gt;=1,I$29&lt;=8),(INDEX(Kernels!$G$5:$I$7,1,1)*INDEX(Datos!$B$3:$K$12,($A35+1)+-1,(I$29+1)+-1)+INDEX(Kernels!$G$5:$I$7,1,2)*INDEX(Datos!$B$3:$K$12,($A35+1)+-1,(I$29+1)+0)+INDEX(Kernels!$G$5:$I$7,1,3)*INDEX(Datos!$B$3:$K$12,($A35+1)+-1,(I$29+1)+1)+INDEX(Kernels!$G$5:$I$7,2,1)*INDEX(Datos!$B$3:$K$12,($A35+1)+0,(I$29+1)+-1)+INDEX(Kernels!$G$5:$I$7,2,2)*INDEX(Datos!$B$3:$K$12,($A35+1)+0,(I$29+1)+0)+INDEX(Kernels!$G$5:$I$7,2,3)*INDEX(Datos!$B$3:$K$12,($A35+1)+0,(I$29+1)+1)+INDEX(Kernels!$G$5:$I$7,3,1)*INDEX(Datos!$B$3:$K$12,($A35+1)+1,(I$29+1)+-1)+INDEX(Kernels!$G$5:$I$7,3,2)*INDEX(Datos!$B$3:$K$12,($A35+1)+1,(I$29+1)+0)+INDEX(Kernels!$G$5:$I$7,3,3)*INDEX(Datos!$B$3:$K$12,($A35+1)+1,(I$29+1)+1))/Kernels!$K$6,"")</f>
        <v>137.5</v>
      </c>
      <c r="J35" s="9">
        <f>IF(AND($A35&gt;=1,$A35&lt;=8,J$29&gt;=1,J$29&lt;=8),(INDEX(Kernels!$G$5:$I$7,1,1)*INDEX(Datos!$B$3:$K$12,($A35+1)+-1,(J$29+1)+-1)+INDEX(Kernels!$G$5:$I$7,1,2)*INDEX(Datos!$B$3:$K$12,($A35+1)+-1,(J$29+1)+0)+INDEX(Kernels!$G$5:$I$7,1,3)*INDEX(Datos!$B$3:$K$12,($A35+1)+-1,(J$29+1)+1)+INDEX(Kernels!$G$5:$I$7,2,1)*INDEX(Datos!$B$3:$K$12,($A35+1)+0,(J$29+1)+-1)+INDEX(Kernels!$G$5:$I$7,2,2)*INDEX(Datos!$B$3:$K$12,($A35+1)+0,(J$29+1)+0)+INDEX(Kernels!$G$5:$I$7,2,3)*INDEX(Datos!$B$3:$K$12,($A35+1)+0,(J$29+1)+1)+INDEX(Kernels!$G$5:$I$7,3,1)*INDEX(Datos!$B$3:$K$12,($A35+1)+1,(J$29+1)+-1)+INDEX(Kernels!$G$5:$I$7,3,2)*INDEX(Datos!$B$3:$K$12,($A35+1)+1,(J$29+1)+0)+INDEX(Kernels!$G$5:$I$7,3,3)*INDEX(Datos!$B$3:$K$12,($A35+1)+1,(J$29+1)+1))/Kernels!$K$6,"")</f>
        <v>132.75</v>
      </c>
      <c r="K35" s="9" t="str">
        <f>IF(AND($A35&gt;=1,$A35&lt;=8,K$29&gt;=1,K$29&lt;=8),(INDEX(Kernels!$G$5:$I$7,1,1)*INDEX(Datos!$B$3:$K$12,($A35+1)+-1,(K$29+1)+-1)+INDEX(Kernels!$G$5:$I$7,1,2)*INDEX(Datos!$B$3:$K$12,($A35+1)+-1,(K$29+1)+0)+INDEX(Kernels!$G$5:$I$7,1,3)*INDEX(Datos!$B$3:$K$12,($A35+1)+-1,(K$29+1)+1)+INDEX(Kernels!$G$5:$I$7,2,1)*INDEX(Datos!$B$3:$K$12,($A35+1)+0,(K$29+1)+-1)+INDEX(Kernels!$G$5:$I$7,2,2)*INDEX(Datos!$B$3:$K$12,($A35+1)+0,(K$29+1)+0)+INDEX(Kernels!$G$5:$I$7,2,3)*INDEX(Datos!$B$3:$K$12,($A35+1)+0,(K$29+1)+1)+INDEX(Kernels!$G$5:$I$7,3,1)*INDEX(Datos!$B$3:$K$12,($A35+1)+1,(K$29+1)+-1)+INDEX(Kernels!$G$5:$I$7,3,2)*INDEX(Datos!$B$3:$K$12,($A35+1)+1,(K$29+1)+0)+INDEX(Kernels!$G$5:$I$7,3,3)*INDEX(Datos!$B$3:$K$12,($A35+1)+1,(K$29+1)+1))/Kernels!$K$6,"")</f>
        <v/>
      </c>
    </row>
    <row r="36" spans="1:11" ht="24" customHeight="1" x14ac:dyDescent="0.2">
      <c r="A36" s="10">
        <v>6</v>
      </c>
      <c r="B36" s="9" t="str">
        <f>IF(AND($A36&gt;=1,$A36&lt;=8,B$29&gt;=1,B$29&lt;=8),(INDEX(Kernels!$G$5:$I$7,1,1)*INDEX(Datos!$B$3:$K$12,($A36+1)+-1,(B$29+1)+-1)+INDEX(Kernels!$G$5:$I$7,1,2)*INDEX(Datos!$B$3:$K$12,($A36+1)+-1,(B$29+1)+0)+INDEX(Kernels!$G$5:$I$7,1,3)*INDEX(Datos!$B$3:$K$12,($A36+1)+-1,(B$29+1)+1)+INDEX(Kernels!$G$5:$I$7,2,1)*INDEX(Datos!$B$3:$K$12,($A36+1)+0,(B$29+1)+-1)+INDEX(Kernels!$G$5:$I$7,2,2)*INDEX(Datos!$B$3:$K$12,($A36+1)+0,(B$29+1)+0)+INDEX(Kernels!$G$5:$I$7,2,3)*INDEX(Datos!$B$3:$K$12,($A36+1)+0,(B$29+1)+1)+INDEX(Kernels!$G$5:$I$7,3,1)*INDEX(Datos!$B$3:$K$12,($A36+1)+1,(B$29+1)+-1)+INDEX(Kernels!$G$5:$I$7,3,2)*INDEX(Datos!$B$3:$K$12,($A36+1)+1,(B$29+1)+0)+INDEX(Kernels!$G$5:$I$7,3,3)*INDEX(Datos!$B$3:$K$12,($A36+1)+1,(B$29+1)+1))/Kernels!$K$6,"")</f>
        <v/>
      </c>
      <c r="C36" s="9">
        <f>IF(AND($A36&gt;=1,$A36&lt;=8,C$29&gt;=1,C$29&lt;=8),(INDEX(Kernels!$G$5:$I$7,1,1)*INDEX(Datos!$B$3:$K$12,($A36+1)+-1,(C$29+1)+-1)+INDEX(Kernels!$G$5:$I$7,1,2)*INDEX(Datos!$B$3:$K$12,($A36+1)+-1,(C$29+1)+0)+INDEX(Kernels!$G$5:$I$7,1,3)*INDEX(Datos!$B$3:$K$12,($A36+1)+-1,(C$29+1)+1)+INDEX(Kernels!$G$5:$I$7,2,1)*INDEX(Datos!$B$3:$K$12,($A36+1)+0,(C$29+1)+-1)+INDEX(Kernels!$G$5:$I$7,2,2)*INDEX(Datos!$B$3:$K$12,($A36+1)+0,(C$29+1)+0)+INDEX(Kernels!$G$5:$I$7,2,3)*INDEX(Datos!$B$3:$K$12,($A36+1)+0,(C$29+1)+1)+INDEX(Kernels!$G$5:$I$7,3,1)*INDEX(Datos!$B$3:$K$12,($A36+1)+1,(C$29+1)+-1)+INDEX(Kernels!$G$5:$I$7,3,2)*INDEX(Datos!$B$3:$K$12,($A36+1)+1,(C$29+1)+0)+INDEX(Kernels!$G$5:$I$7,3,3)*INDEX(Datos!$B$3:$K$12,($A36+1)+1,(C$29+1)+1))/Kernels!$K$6,"")</f>
        <v>76.6875</v>
      </c>
      <c r="D36" s="9">
        <f>IF(AND($A36&gt;=1,$A36&lt;=8,D$29&gt;=1,D$29&lt;=8),(INDEX(Kernels!$G$5:$I$7,1,1)*INDEX(Datos!$B$3:$K$12,($A36+1)+-1,(D$29+1)+-1)+INDEX(Kernels!$G$5:$I$7,1,2)*INDEX(Datos!$B$3:$K$12,($A36+1)+-1,(D$29+1)+0)+INDEX(Kernels!$G$5:$I$7,1,3)*INDEX(Datos!$B$3:$K$12,($A36+1)+-1,(D$29+1)+1)+INDEX(Kernels!$G$5:$I$7,2,1)*INDEX(Datos!$B$3:$K$12,($A36+1)+0,(D$29+1)+-1)+INDEX(Kernels!$G$5:$I$7,2,2)*INDEX(Datos!$B$3:$K$12,($A36+1)+0,(D$29+1)+0)+INDEX(Kernels!$G$5:$I$7,2,3)*INDEX(Datos!$B$3:$K$12,($A36+1)+0,(D$29+1)+1)+INDEX(Kernels!$G$5:$I$7,3,1)*INDEX(Datos!$B$3:$K$12,($A36+1)+1,(D$29+1)+-1)+INDEX(Kernels!$G$5:$I$7,3,2)*INDEX(Datos!$B$3:$K$12,($A36+1)+1,(D$29+1)+0)+INDEX(Kernels!$G$5:$I$7,3,3)*INDEX(Datos!$B$3:$K$12,($A36+1)+1,(D$29+1)+1))/Kernels!$K$6,"")</f>
        <v>86.25</v>
      </c>
      <c r="E36" s="9">
        <f>IF(AND($A36&gt;=1,$A36&lt;=8,E$29&gt;=1,E$29&lt;=8),(INDEX(Kernels!$G$5:$I$7,1,1)*INDEX(Datos!$B$3:$K$12,($A36+1)+-1,(E$29+1)+-1)+INDEX(Kernels!$G$5:$I$7,1,2)*INDEX(Datos!$B$3:$K$12,($A36+1)+-1,(E$29+1)+0)+INDEX(Kernels!$G$5:$I$7,1,3)*INDEX(Datos!$B$3:$K$12,($A36+1)+-1,(E$29+1)+1)+INDEX(Kernels!$G$5:$I$7,2,1)*INDEX(Datos!$B$3:$K$12,($A36+1)+0,(E$29+1)+-1)+INDEX(Kernels!$G$5:$I$7,2,2)*INDEX(Datos!$B$3:$K$12,($A36+1)+0,(E$29+1)+0)+INDEX(Kernels!$G$5:$I$7,2,3)*INDEX(Datos!$B$3:$K$12,($A36+1)+0,(E$29+1)+1)+INDEX(Kernels!$G$5:$I$7,3,1)*INDEX(Datos!$B$3:$K$12,($A36+1)+1,(E$29+1)+-1)+INDEX(Kernels!$G$5:$I$7,3,2)*INDEX(Datos!$B$3:$K$12,($A36+1)+1,(E$29+1)+0)+INDEX(Kernels!$G$5:$I$7,3,3)*INDEX(Datos!$B$3:$K$12,($A36+1)+1,(E$29+1)+1))/Kernels!$K$6,"")</f>
        <v>101.5</v>
      </c>
      <c r="F36" s="9">
        <f>IF(AND($A36&gt;=1,$A36&lt;=8,F$29&gt;=1,F$29&lt;=8),(INDEX(Kernels!$G$5:$I$7,1,1)*INDEX(Datos!$B$3:$K$12,($A36+1)+-1,(F$29+1)+-1)+INDEX(Kernels!$G$5:$I$7,1,2)*INDEX(Datos!$B$3:$K$12,($A36+1)+-1,(F$29+1)+0)+INDEX(Kernels!$G$5:$I$7,1,3)*INDEX(Datos!$B$3:$K$12,($A36+1)+-1,(F$29+1)+1)+INDEX(Kernels!$G$5:$I$7,2,1)*INDEX(Datos!$B$3:$K$12,($A36+1)+0,(F$29+1)+-1)+INDEX(Kernels!$G$5:$I$7,2,2)*INDEX(Datos!$B$3:$K$12,($A36+1)+0,(F$29+1)+0)+INDEX(Kernels!$G$5:$I$7,2,3)*INDEX(Datos!$B$3:$K$12,($A36+1)+0,(F$29+1)+1)+INDEX(Kernels!$G$5:$I$7,3,1)*INDEX(Datos!$B$3:$K$12,($A36+1)+1,(F$29+1)+-1)+INDEX(Kernels!$G$5:$I$7,3,2)*INDEX(Datos!$B$3:$K$12,($A36+1)+1,(F$29+1)+0)+INDEX(Kernels!$G$5:$I$7,3,3)*INDEX(Datos!$B$3:$K$12,($A36+1)+1,(F$29+1)+1))/Kernels!$K$6,"")</f>
        <v>114.9375</v>
      </c>
      <c r="G36" s="9">
        <f>IF(AND($A36&gt;=1,$A36&lt;=8,G$29&gt;=1,G$29&lt;=8),(INDEX(Kernels!$G$5:$I$7,1,1)*INDEX(Datos!$B$3:$K$12,($A36+1)+-1,(G$29+1)+-1)+INDEX(Kernels!$G$5:$I$7,1,2)*INDEX(Datos!$B$3:$K$12,($A36+1)+-1,(G$29+1)+0)+INDEX(Kernels!$G$5:$I$7,1,3)*INDEX(Datos!$B$3:$K$12,($A36+1)+-1,(G$29+1)+1)+INDEX(Kernels!$G$5:$I$7,2,1)*INDEX(Datos!$B$3:$K$12,($A36+1)+0,(G$29+1)+-1)+INDEX(Kernels!$G$5:$I$7,2,2)*INDEX(Datos!$B$3:$K$12,($A36+1)+0,(G$29+1)+0)+INDEX(Kernels!$G$5:$I$7,2,3)*INDEX(Datos!$B$3:$K$12,($A36+1)+0,(G$29+1)+1)+INDEX(Kernels!$G$5:$I$7,3,1)*INDEX(Datos!$B$3:$K$12,($A36+1)+1,(G$29+1)+-1)+INDEX(Kernels!$G$5:$I$7,3,2)*INDEX(Datos!$B$3:$K$12,($A36+1)+1,(G$29+1)+0)+INDEX(Kernels!$G$5:$I$7,3,3)*INDEX(Datos!$B$3:$K$12,($A36+1)+1,(G$29+1)+1))/Kernels!$K$6,"")</f>
        <v>122.375</v>
      </c>
      <c r="H36" s="9">
        <f>IF(AND($A36&gt;=1,$A36&lt;=8,H$29&gt;=1,H$29&lt;=8),(INDEX(Kernels!$G$5:$I$7,1,1)*INDEX(Datos!$B$3:$K$12,($A36+1)+-1,(H$29+1)+-1)+INDEX(Kernels!$G$5:$I$7,1,2)*INDEX(Datos!$B$3:$K$12,($A36+1)+-1,(H$29+1)+0)+INDEX(Kernels!$G$5:$I$7,1,3)*INDEX(Datos!$B$3:$K$12,($A36+1)+-1,(H$29+1)+1)+INDEX(Kernels!$G$5:$I$7,2,1)*INDEX(Datos!$B$3:$K$12,($A36+1)+0,(H$29+1)+-1)+INDEX(Kernels!$G$5:$I$7,2,2)*INDEX(Datos!$B$3:$K$12,($A36+1)+0,(H$29+1)+0)+INDEX(Kernels!$G$5:$I$7,2,3)*INDEX(Datos!$B$3:$K$12,($A36+1)+0,(H$29+1)+1)+INDEX(Kernels!$G$5:$I$7,3,1)*INDEX(Datos!$B$3:$K$12,($A36+1)+1,(H$29+1)+-1)+INDEX(Kernels!$G$5:$I$7,3,2)*INDEX(Datos!$B$3:$K$12,($A36+1)+1,(H$29+1)+0)+INDEX(Kernels!$G$5:$I$7,3,3)*INDEX(Datos!$B$3:$K$12,($A36+1)+1,(H$29+1)+1))/Kernels!$K$6,"")</f>
        <v>126.1875</v>
      </c>
      <c r="I36" s="9">
        <f>IF(AND($A36&gt;=1,$A36&lt;=8,I$29&gt;=1,I$29&lt;=8),(INDEX(Kernels!$G$5:$I$7,1,1)*INDEX(Datos!$B$3:$K$12,($A36+1)+-1,(I$29+1)+-1)+INDEX(Kernels!$G$5:$I$7,1,2)*INDEX(Datos!$B$3:$K$12,($A36+1)+-1,(I$29+1)+0)+INDEX(Kernels!$G$5:$I$7,1,3)*INDEX(Datos!$B$3:$K$12,($A36+1)+-1,(I$29+1)+1)+INDEX(Kernels!$G$5:$I$7,2,1)*INDEX(Datos!$B$3:$K$12,($A36+1)+0,(I$29+1)+-1)+INDEX(Kernels!$G$5:$I$7,2,2)*INDEX(Datos!$B$3:$K$12,($A36+1)+0,(I$29+1)+0)+INDEX(Kernels!$G$5:$I$7,2,3)*INDEX(Datos!$B$3:$K$12,($A36+1)+0,(I$29+1)+1)+INDEX(Kernels!$G$5:$I$7,3,1)*INDEX(Datos!$B$3:$K$12,($A36+1)+1,(I$29+1)+-1)+INDEX(Kernels!$G$5:$I$7,3,2)*INDEX(Datos!$B$3:$K$12,($A36+1)+1,(I$29+1)+0)+INDEX(Kernels!$G$5:$I$7,3,3)*INDEX(Datos!$B$3:$K$12,($A36+1)+1,(I$29+1)+1))/Kernels!$K$6,"")</f>
        <v>133.9375</v>
      </c>
      <c r="J36" s="9">
        <f>IF(AND($A36&gt;=1,$A36&lt;=8,J$29&gt;=1,J$29&lt;=8),(INDEX(Kernels!$G$5:$I$7,1,1)*INDEX(Datos!$B$3:$K$12,($A36+1)+-1,(J$29+1)+-1)+INDEX(Kernels!$G$5:$I$7,1,2)*INDEX(Datos!$B$3:$K$12,($A36+1)+-1,(J$29+1)+0)+INDEX(Kernels!$G$5:$I$7,1,3)*INDEX(Datos!$B$3:$K$12,($A36+1)+-1,(J$29+1)+1)+INDEX(Kernels!$G$5:$I$7,2,1)*INDEX(Datos!$B$3:$K$12,($A36+1)+0,(J$29+1)+-1)+INDEX(Kernels!$G$5:$I$7,2,2)*INDEX(Datos!$B$3:$K$12,($A36+1)+0,(J$29+1)+0)+INDEX(Kernels!$G$5:$I$7,2,3)*INDEX(Datos!$B$3:$K$12,($A36+1)+0,(J$29+1)+1)+INDEX(Kernels!$G$5:$I$7,3,1)*INDEX(Datos!$B$3:$K$12,($A36+1)+1,(J$29+1)+-1)+INDEX(Kernels!$G$5:$I$7,3,2)*INDEX(Datos!$B$3:$K$12,($A36+1)+1,(J$29+1)+0)+INDEX(Kernels!$G$5:$I$7,3,3)*INDEX(Datos!$B$3:$K$12,($A36+1)+1,(J$29+1)+1))/Kernels!$K$6,"")</f>
        <v>135.875</v>
      </c>
      <c r="K36" s="9" t="str">
        <f>IF(AND($A36&gt;=1,$A36&lt;=8,K$29&gt;=1,K$29&lt;=8),(INDEX(Kernels!$G$5:$I$7,1,1)*INDEX(Datos!$B$3:$K$12,($A36+1)+-1,(K$29+1)+-1)+INDEX(Kernels!$G$5:$I$7,1,2)*INDEX(Datos!$B$3:$K$12,($A36+1)+-1,(K$29+1)+0)+INDEX(Kernels!$G$5:$I$7,1,3)*INDEX(Datos!$B$3:$K$12,($A36+1)+-1,(K$29+1)+1)+INDEX(Kernels!$G$5:$I$7,2,1)*INDEX(Datos!$B$3:$K$12,($A36+1)+0,(K$29+1)+-1)+INDEX(Kernels!$G$5:$I$7,2,2)*INDEX(Datos!$B$3:$K$12,($A36+1)+0,(K$29+1)+0)+INDEX(Kernels!$G$5:$I$7,2,3)*INDEX(Datos!$B$3:$K$12,($A36+1)+0,(K$29+1)+1)+INDEX(Kernels!$G$5:$I$7,3,1)*INDEX(Datos!$B$3:$K$12,($A36+1)+1,(K$29+1)+-1)+INDEX(Kernels!$G$5:$I$7,3,2)*INDEX(Datos!$B$3:$K$12,($A36+1)+1,(K$29+1)+0)+INDEX(Kernels!$G$5:$I$7,3,3)*INDEX(Datos!$B$3:$K$12,($A36+1)+1,(K$29+1)+1))/Kernels!$K$6,"")</f>
        <v/>
      </c>
    </row>
    <row r="37" spans="1:11" ht="24" customHeight="1" x14ac:dyDescent="0.2">
      <c r="A37" s="10">
        <v>7</v>
      </c>
      <c r="B37" s="9" t="str">
        <f>IF(AND($A37&gt;=1,$A37&lt;=8,B$29&gt;=1,B$29&lt;=8),(INDEX(Kernels!$G$5:$I$7,1,1)*INDEX(Datos!$B$3:$K$12,($A37+1)+-1,(B$29+1)+-1)+INDEX(Kernels!$G$5:$I$7,1,2)*INDEX(Datos!$B$3:$K$12,($A37+1)+-1,(B$29+1)+0)+INDEX(Kernels!$G$5:$I$7,1,3)*INDEX(Datos!$B$3:$K$12,($A37+1)+-1,(B$29+1)+1)+INDEX(Kernels!$G$5:$I$7,2,1)*INDEX(Datos!$B$3:$K$12,($A37+1)+0,(B$29+1)+-1)+INDEX(Kernels!$G$5:$I$7,2,2)*INDEX(Datos!$B$3:$K$12,($A37+1)+0,(B$29+1)+0)+INDEX(Kernels!$G$5:$I$7,2,3)*INDEX(Datos!$B$3:$K$12,($A37+1)+0,(B$29+1)+1)+INDEX(Kernels!$G$5:$I$7,3,1)*INDEX(Datos!$B$3:$K$12,($A37+1)+1,(B$29+1)+-1)+INDEX(Kernels!$G$5:$I$7,3,2)*INDEX(Datos!$B$3:$K$12,($A37+1)+1,(B$29+1)+0)+INDEX(Kernels!$G$5:$I$7,3,3)*INDEX(Datos!$B$3:$K$12,($A37+1)+1,(B$29+1)+1))/Kernels!$K$6,"")</f>
        <v/>
      </c>
      <c r="C37" s="9">
        <f>IF(AND($A37&gt;=1,$A37&lt;=8,C$29&gt;=1,C$29&lt;=8),(INDEX(Kernels!$G$5:$I$7,1,1)*INDEX(Datos!$B$3:$K$12,($A37+1)+-1,(C$29+1)+-1)+INDEX(Kernels!$G$5:$I$7,1,2)*INDEX(Datos!$B$3:$K$12,($A37+1)+-1,(C$29+1)+0)+INDEX(Kernels!$G$5:$I$7,1,3)*INDEX(Datos!$B$3:$K$12,($A37+1)+-1,(C$29+1)+1)+INDEX(Kernels!$G$5:$I$7,2,1)*INDEX(Datos!$B$3:$K$12,($A37+1)+0,(C$29+1)+-1)+INDEX(Kernels!$G$5:$I$7,2,2)*INDEX(Datos!$B$3:$K$12,($A37+1)+0,(C$29+1)+0)+INDEX(Kernels!$G$5:$I$7,2,3)*INDEX(Datos!$B$3:$K$12,($A37+1)+0,(C$29+1)+1)+INDEX(Kernels!$G$5:$I$7,3,1)*INDEX(Datos!$B$3:$K$12,($A37+1)+1,(C$29+1)+-1)+INDEX(Kernels!$G$5:$I$7,3,2)*INDEX(Datos!$B$3:$K$12,($A37+1)+1,(C$29+1)+0)+INDEX(Kernels!$G$5:$I$7,3,3)*INDEX(Datos!$B$3:$K$12,($A37+1)+1,(C$29+1)+1))/Kernels!$K$6,"")</f>
        <v>65.625</v>
      </c>
      <c r="D37" s="9">
        <f>IF(AND($A37&gt;=1,$A37&lt;=8,D$29&gt;=1,D$29&lt;=8),(INDEX(Kernels!$G$5:$I$7,1,1)*INDEX(Datos!$B$3:$K$12,($A37+1)+-1,(D$29+1)+-1)+INDEX(Kernels!$G$5:$I$7,1,2)*INDEX(Datos!$B$3:$K$12,($A37+1)+-1,(D$29+1)+0)+INDEX(Kernels!$G$5:$I$7,1,3)*INDEX(Datos!$B$3:$K$12,($A37+1)+-1,(D$29+1)+1)+INDEX(Kernels!$G$5:$I$7,2,1)*INDEX(Datos!$B$3:$K$12,($A37+1)+0,(D$29+1)+-1)+INDEX(Kernels!$G$5:$I$7,2,2)*INDEX(Datos!$B$3:$K$12,($A37+1)+0,(D$29+1)+0)+INDEX(Kernels!$G$5:$I$7,2,3)*INDEX(Datos!$B$3:$K$12,($A37+1)+0,(D$29+1)+1)+INDEX(Kernels!$G$5:$I$7,3,1)*INDEX(Datos!$B$3:$K$12,($A37+1)+1,(D$29+1)+-1)+INDEX(Kernels!$G$5:$I$7,3,2)*INDEX(Datos!$B$3:$K$12,($A37+1)+1,(D$29+1)+0)+INDEX(Kernels!$G$5:$I$7,3,3)*INDEX(Datos!$B$3:$K$12,($A37+1)+1,(D$29+1)+1))/Kernels!$K$6,"")</f>
        <v>81.375</v>
      </c>
      <c r="E37" s="9">
        <f>IF(AND($A37&gt;=1,$A37&lt;=8,E$29&gt;=1,E$29&lt;=8),(INDEX(Kernels!$G$5:$I$7,1,1)*INDEX(Datos!$B$3:$K$12,($A37+1)+-1,(E$29+1)+-1)+INDEX(Kernels!$G$5:$I$7,1,2)*INDEX(Datos!$B$3:$K$12,($A37+1)+-1,(E$29+1)+0)+INDEX(Kernels!$G$5:$I$7,1,3)*INDEX(Datos!$B$3:$K$12,($A37+1)+-1,(E$29+1)+1)+INDEX(Kernels!$G$5:$I$7,2,1)*INDEX(Datos!$B$3:$K$12,($A37+1)+0,(E$29+1)+-1)+INDEX(Kernels!$G$5:$I$7,2,2)*INDEX(Datos!$B$3:$K$12,($A37+1)+0,(E$29+1)+0)+INDEX(Kernels!$G$5:$I$7,2,3)*INDEX(Datos!$B$3:$K$12,($A37+1)+0,(E$29+1)+1)+INDEX(Kernels!$G$5:$I$7,3,1)*INDEX(Datos!$B$3:$K$12,($A37+1)+1,(E$29+1)+-1)+INDEX(Kernels!$G$5:$I$7,3,2)*INDEX(Datos!$B$3:$K$12,($A37+1)+1,(E$29+1)+0)+INDEX(Kernels!$G$5:$I$7,3,3)*INDEX(Datos!$B$3:$K$12,($A37+1)+1,(E$29+1)+1))/Kernels!$K$6,"")</f>
        <v>98.0625</v>
      </c>
      <c r="F37" s="9">
        <f>IF(AND($A37&gt;=1,$A37&lt;=8,F$29&gt;=1,F$29&lt;=8),(INDEX(Kernels!$G$5:$I$7,1,1)*INDEX(Datos!$B$3:$K$12,($A37+1)+-1,(F$29+1)+-1)+INDEX(Kernels!$G$5:$I$7,1,2)*INDEX(Datos!$B$3:$K$12,($A37+1)+-1,(F$29+1)+0)+INDEX(Kernels!$G$5:$I$7,1,3)*INDEX(Datos!$B$3:$K$12,($A37+1)+-1,(F$29+1)+1)+INDEX(Kernels!$G$5:$I$7,2,1)*INDEX(Datos!$B$3:$K$12,($A37+1)+0,(F$29+1)+-1)+INDEX(Kernels!$G$5:$I$7,2,2)*INDEX(Datos!$B$3:$K$12,($A37+1)+0,(F$29+1)+0)+INDEX(Kernels!$G$5:$I$7,2,3)*INDEX(Datos!$B$3:$K$12,($A37+1)+0,(F$29+1)+1)+INDEX(Kernels!$G$5:$I$7,3,1)*INDEX(Datos!$B$3:$K$12,($A37+1)+1,(F$29+1)+-1)+INDEX(Kernels!$G$5:$I$7,3,2)*INDEX(Datos!$B$3:$K$12,($A37+1)+1,(F$29+1)+0)+INDEX(Kernels!$G$5:$I$7,3,3)*INDEX(Datos!$B$3:$K$12,($A37+1)+1,(F$29+1)+1))/Kernels!$K$6,"")</f>
        <v>109.125</v>
      </c>
      <c r="G37" s="9">
        <f>IF(AND($A37&gt;=1,$A37&lt;=8,G$29&gt;=1,G$29&lt;=8),(INDEX(Kernels!$G$5:$I$7,1,1)*INDEX(Datos!$B$3:$K$12,($A37+1)+-1,(G$29+1)+-1)+INDEX(Kernels!$G$5:$I$7,1,2)*INDEX(Datos!$B$3:$K$12,($A37+1)+-1,(G$29+1)+0)+INDEX(Kernels!$G$5:$I$7,1,3)*INDEX(Datos!$B$3:$K$12,($A37+1)+-1,(G$29+1)+1)+INDEX(Kernels!$G$5:$I$7,2,1)*INDEX(Datos!$B$3:$K$12,($A37+1)+0,(G$29+1)+-1)+INDEX(Kernels!$G$5:$I$7,2,2)*INDEX(Datos!$B$3:$K$12,($A37+1)+0,(G$29+1)+0)+INDEX(Kernels!$G$5:$I$7,2,3)*INDEX(Datos!$B$3:$K$12,($A37+1)+0,(G$29+1)+1)+INDEX(Kernels!$G$5:$I$7,3,1)*INDEX(Datos!$B$3:$K$12,($A37+1)+1,(G$29+1)+-1)+INDEX(Kernels!$G$5:$I$7,3,2)*INDEX(Datos!$B$3:$K$12,($A37+1)+1,(G$29+1)+0)+INDEX(Kernels!$G$5:$I$7,3,3)*INDEX(Datos!$B$3:$K$12,($A37+1)+1,(G$29+1)+1))/Kernels!$K$6,"")</f>
        <v>111.875</v>
      </c>
      <c r="H37" s="9">
        <f>IF(AND($A37&gt;=1,$A37&lt;=8,H$29&gt;=1,H$29&lt;=8),(INDEX(Kernels!$G$5:$I$7,1,1)*INDEX(Datos!$B$3:$K$12,($A37+1)+-1,(H$29+1)+-1)+INDEX(Kernels!$G$5:$I$7,1,2)*INDEX(Datos!$B$3:$K$12,($A37+1)+-1,(H$29+1)+0)+INDEX(Kernels!$G$5:$I$7,1,3)*INDEX(Datos!$B$3:$K$12,($A37+1)+-1,(H$29+1)+1)+INDEX(Kernels!$G$5:$I$7,2,1)*INDEX(Datos!$B$3:$K$12,($A37+1)+0,(H$29+1)+-1)+INDEX(Kernels!$G$5:$I$7,2,2)*INDEX(Datos!$B$3:$K$12,($A37+1)+0,(H$29+1)+0)+INDEX(Kernels!$G$5:$I$7,2,3)*INDEX(Datos!$B$3:$K$12,($A37+1)+0,(H$29+1)+1)+INDEX(Kernels!$G$5:$I$7,3,1)*INDEX(Datos!$B$3:$K$12,($A37+1)+1,(H$29+1)+-1)+INDEX(Kernels!$G$5:$I$7,3,2)*INDEX(Datos!$B$3:$K$12,($A37+1)+1,(H$29+1)+0)+INDEX(Kernels!$G$5:$I$7,3,3)*INDEX(Datos!$B$3:$K$12,($A37+1)+1,(H$29+1)+1))/Kernels!$K$6,"")</f>
        <v>115.6875</v>
      </c>
      <c r="I37" s="9">
        <f>IF(AND($A37&gt;=1,$A37&lt;=8,I$29&gt;=1,I$29&lt;=8),(INDEX(Kernels!$G$5:$I$7,1,1)*INDEX(Datos!$B$3:$K$12,($A37+1)+-1,(I$29+1)+-1)+INDEX(Kernels!$G$5:$I$7,1,2)*INDEX(Datos!$B$3:$K$12,($A37+1)+-1,(I$29+1)+0)+INDEX(Kernels!$G$5:$I$7,1,3)*INDEX(Datos!$B$3:$K$12,($A37+1)+-1,(I$29+1)+1)+INDEX(Kernels!$G$5:$I$7,2,1)*INDEX(Datos!$B$3:$K$12,($A37+1)+0,(I$29+1)+-1)+INDEX(Kernels!$G$5:$I$7,2,2)*INDEX(Datos!$B$3:$K$12,($A37+1)+0,(I$29+1)+0)+INDEX(Kernels!$G$5:$I$7,2,3)*INDEX(Datos!$B$3:$K$12,($A37+1)+0,(I$29+1)+1)+INDEX(Kernels!$G$5:$I$7,3,1)*INDEX(Datos!$B$3:$K$12,($A37+1)+1,(I$29+1)+-1)+INDEX(Kernels!$G$5:$I$7,3,2)*INDEX(Datos!$B$3:$K$12,($A37+1)+1,(I$29+1)+0)+INDEX(Kernels!$G$5:$I$7,3,3)*INDEX(Datos!$B$3:$K$12,($A37+1)+1,(I$29+1)+1))/Kernels!$K$6,"")</f>
        <v>128.75</v>
      </c>
      <c r="J37" s="9">
        <f>IF(AND($A37&gt;=1,$A37&lt;=8,J$29&gt;=1,J$29&lt;=8),(INDEX(Kernels!$G$5:$I$7,1,1)*INDEX(Datos!$B$3:$K$12,($A37+1)+-1,(J$29+1)+-1)+INDEX(Kernels!$G$5:$I$7,1,2)*INDEX(Datos!$B$3:$K$12,($A37+1)+-1,(J$29+1)+0)+INDEX(Kernels!$G$5:$I$7,1,3)*INDEX(Datos!$B$3:$K$12,($A37+1)+-1,(J$29+1)+1)+INDEX(Kernels!$G$5:$I$7,2,1)*INDEX(Datos!$B$3:$K$12,($A37+1)+0,(J$29+1)+-1)+INDEX(Kernels!$G$5:$I$7,2,2)*INDEX(Datos!$B$3:$K$12,($A37+1)+0,(J$29+1)+0)+INDEX(Kernels!$G$5:$I$7,2,3)*INDEX(Datos!$B$3:$K$12,($A37+1)+0,(J$29+1)+1)+INDEX(Kernels!$G$5:$I$7,3,1)*INDEX(Datos!$B$3:$K$12,($A37+1)+1,(J$29+1)+-1)+INDEX(Kernels!$G$5:$I$7,3,2)*INDEX(Datos!$B$3:$K$12,($A37+1)+1,(J$29+1)+0)+INDEX(Kernels!$G$5:$I$7,3,3)*INDEX(Datos!$B$3:$K$12,($A37+1)+1,(J$29+1)+1))/Kernels!$K$6,"")</f>
        <v>129.4375</v>
      </c>
      <c r="K37" s="9" t="str">
        <f>IF(AND($A37&gt;=1,$A37&lt;=8,K$29&gt;=1,K$29&lt;=8),(INDEX(Kernels!$G$5:$I$7,1,1)*INDEX(Datos!$B$3:$K$12,($A37+1)+-1,(K$29+1)+-1)+INDEX(Kernels!$G$5:$I$7,1,2)*INDEX(Datos!$B$3:$K$12,($A37+1)+-1,(K$29+1)+0)+INDEX(Kernels!$G$5:$I$7,1,3)*INDEX(Datos!$B$3:$K$12,($A37+1)+-1,(K$29+1)+1)+INDEX(Kernels!$G$5:$I$7,2,1)*INDEX(Datos!$B$3:$K$12,($A37+1)+0,(K$29+1)+-1)+INDEX(Kernels!$G$5:$I$7,2,2)*INDEX(Datos!$B$3:$K$12,($A37+1)+0,(K$29+1)+0)+INDEX(Kernels!$G$5:$I$7,2,3)*INDEX(Datos!$B$3:$K$12,($A37+1)+0,(K$29+1)+1)+INDEX(Kernels!$G$5:$I$7,3,1)*INDEX(Datos!$B$3:$K$12,($A37+1)+1,(K$29+1)+-1)+INDEX(Kernels!$G$5:$I$7,3,2)*INDEX(Datos!$B$3:$K$12,($A37+1)+1,(K$29+1)+0)+INDEX(Kernels!$G$5:$I$7,3,3)*INDEX(Datos!$B$3:$K$12,($A37+1)+1,(K$29+1)+1))/Kernels!$K$6,"")</f>
        <v/>
      </c>
    </row>
    <row r="38" spans="1:11" ht="24" customHeight="1" x14ac:dyDescent="0.2">
      <c r="A38" s="10">
        <v>8</v>
      </c>
      <c r="B38" s="9" t="str">
        <f>IF(AND($A38&gt;=1,$A38&lt;=8,B$29&gt;=1,B$29&lt;=8),(INDEX(Kernels!$G$5:$I$7,1,1)*INDEX(Datos!$B$3:$K$12,($A38+1)+-1,(B$29+1)+-1)+INDEX(Kernels!$G$5:$I$7,1,2)*INDEX(Datos!$B$3:$K$12,($A38+1)+-1,(B$29+1)+0)+INDEX(Kernels!$G$5:$I$7,1,3)*INDEX(Datos!$B$3:$K$12,($A38+1)+-1,(B$29+1)+1)+INDEX(Kernels!$G$5:$I$7,2,1)*INDEX(Datos!$B$3:$K$12,($A38+1)+0,(B$29+1)+-1)+INDEX(Kernels!$G$5:$I$7,2,2)*INDEX(Datos!$B$3:$K$12,($A38+1)+0,(B$29+1)+0)+INDEX(Kernels!$G$5:$I$7,2,3)*INDEX(Datos!$B$3:$K$12,($A38+1)+0,(B$29+1)+1)+INDEX(Kernels!$G$5:$I$7,3,1)*INDEX(Datos!$B$3:$K$12,($A38+1)+1,(B$29+1)+-1)+INDEX(Kernels!$G$5:$I$7,3,2)*INDEX(Datos!$B$3:$K$12,($A38+1)+1,(B$29+1)+0)+INDEX(Kernels!$G$5:$I$7,3,3)*INDEX(Datos!$B$3:$K$12,($A38+1)+1,(B$29+1)+1))/Kernels!$K$6,"")</f>
        <v/>
      </c>
      <c r="C38" s="9">
        <f>IF(AND($A38&gt;=1,$A38&lt;=8,C$29&gt;=1,C$29&lt;=8),(INDEX(Kernels!$G$5:$I$7,1,1)*INDEX(Datos!$B$3:$K$12,($A38+1)+-1,(C$29+1)+-1)+INDEX(Kernels!$G$5:$I$7,1,2)*INDEX(Datos!$B$3:$K$12,($A38+1)+-1,(C$29+1)+0)+INDEX(Kernels!$G$5:$I$7,1,3)*INDEX(Datos!$B$3:$K$12,($A38+1)+-1,(C$29+1)+1)+INDEX(Kernels!$G$5:$I$7,2,1)*INDEX(Datos!$B$3:$K$12,($A38+1)+0,(C$29+1)+-1)+INDEX(Kernels!$G$5:$I$7,2,2)*INDEX(Datos!$B$3:$K$12,($A38+1)+0,(C$29+1)+0)+INDEX(Kernels!$G$5:$I$7,2,3)*INDEX(Datos!$B$3:$K$12,($A38+1)+0,(C$29+1)+1)+INDEX(Kernels!$G$5:$I$7,3,1)*INDEX(Datos!$B$3:$K$12,($A38+1)+1,(C$29+1)+-1)+INDEX(Kernels!$G$5:$I$7,3,2)*INDEX(Datos!$B$3:$K$12,($A38+1)+1,(C$29+1)+0)+INDEX(Kernels!$G$5:$I$7,3,3)*INDEX(Datos!$B$3:$K$12,($A38+1)+1,(C$29+1)+1))/Kernels!$K$6,"")</f>
        <v>70.1875</v>
      </c>
      <c r="D38" s="9">
        <f>IF(AND($A38&gt;=1,$A38&lt;=8,D$29&gt;=1,D$29&lt;=8),(INDEX(Kernels!$G$5:$I$7,1,1)*INDEX(Datos!$B$3:$K$12,($A38+1)+-1,(D$29+1)+-1)+INDEX(Kernels!$G$5:$I$7,1,2)*INDEX(Datos!$B$3:$K$12,($A38+1)+-1,(D$29+1)+0)+INDEX(Kernels!$G$5:$I$7,1,3)*INDEX(Datos!$B$3:$K$12,($A38+1)+-1,(D$29+1)+1)+INDEX(Kernels!$G$5:$I$7,2,1)*INDEX(Datos!$B$3:$K$12,($A38+1)+0,(D$29+1)+-1)+INDEX(Kernels!$G$5:$I$7,2,2)*INDEX(Datos!$B$3:$K$12,($A38+1)+0,(D$29+1)+0)+INDEX(Kernels!$G$5:$I$7,2,3)*INDEX(Datos!$B$3:$K$12,($A38+1)+0,(D$29+1)+1)+INDEX(Kernels!$G$5:$I$7,3,1)*INDEX(Datos!$B$3:$K$12,($A38+1)+1,(D$29+1)+-1)+INDEX(Kernels!$G$5:$I$7,3,2)*INDEX(Datos!$B$3:$K$12,($A38+1)+1,(D$29+1)+0)+INDEX(Kernels!$G$5:$I$7,3,3)*INDEX(Datos!$B$3:$K$12,($A38+1)+1,(D$29+1)+1))/Kernels!$K$6,"")</f>
        <v>75.9375</v>
      </c>
      <c r="E38" s="9">
        <f>IF(AND($A38&gt;=1,$A38&lt;=8,E$29&gt;=1,E$29&lt;=8),(INDEX(Kernels!$G$5:$I$7,1,1)*INDEX(Datos!$B$3:$K$12,($A38+1)+-1,(E$29+1)+-1)+INDEX(Kernels!$G$5:$I$7,1,2)*INDEX(Datos!$B$3:$K$12,($A38+1)+-1,(E$29+1)+0)+INDEX(Kernels!$G$5:$I$7,1,3)*INDEX(Datos!$B$3:$K$12,($A38+1)+-1,(E$29+1)+1)+INDEX(Kernels!$G$5:$I$7,2,1)*INDEX(Datos!$B$3:$K$12,($A38+1)+0,(E$29+1)+-1)+INDEX(Kernels!$G$5:$I$7,2,2)*INDEX(Datos!$B$3:$K$12,($A38+1)+0,(E$29+1)+0)+INDEX(Kernels!$G$5:$I$7,2,3)*INDEX(Datos!$B$3:$K$12,($A38+1)+0,(E$29+1)+1)+INDEX(Kernels!$G$5:$I$7,3,1)*INDEX(Datos!$B$3:$K$12,($A38+1)+1,(E$29+1)+-1)+INDEX(Kernels!$G$5:$I$7,3,2)*INDEX(Datos!$B$3:$K$12,($A38+1)+1,(E$29+1)+0)+INDEX(Kernels!$G$5:$I$7,3,3)*INDEX(Datos!$B$3:$K$12,($A38+1)+1,(E$29+1)+1))/Kernels!$K$6,"")</f>
        <v>82.3125</v>
      </c>
      <c r="F38" s="9">
        <f>IF(AND($A38&gt;=1,$A38&lt;=8,F$29&gt;=1,F$29&lt;=8),(INDEX(Kernels!$G$5:$I$7,1,1)*INDEX(Datos!$B$3:$K$12,($A38+1)+-1,(F$29+1)+-1)+INDEX(Kernels!$G$5:$I$7,1,2)*INDEX(Datos!$B$3:$K$12,($A38+1)+-1,(F$29+1)+0)+INDEX(Kernels!$G$5:$I$7,1,3)*INDEX(Datos!$B$3:$K$12,($A38+1)+-1,(F$29+1)+1)+INDEX(Kernels!$G$5:$I$7,2,1)*INDEX(Datos!$B$3:$K$12,($A38+1)+0,(F$29+1)+-1)+INDEX(Kernels!$G$5:$I$7,2,2)*INDEX(Datos!$B$3:$K$12,($A38+1)+0,(F$29+1)+0)+INDEX(Kernels!$G$5:$I$7,2,3)*INDEX(Datos!$B$3:$K$12,($A38+1)+0,(F$29+1)+1)+INDEX(Kernels!$G$5:$I$7,3,1)*INDEX(Datos!$B$3:$K$12,($A38+1)+1,(F$29+1)+-1)+INDEX(Kernels!$G$5:$I$7,3,2)*INDEX(Datos!$B$3:$K$12,($A38+1)+1,(F$29+1)+0)+INDEX(Kernels!$G$5:$I$7,3,3)*INDEX(Datos!$B$3:$K$12,($A38+1)+1,(F$29+1)+1))/Kernels!$K$6,"")</f>
        <v>91.0625</v>
      </c>
      <c r="G38" s="9">
        <f>IF(AND($A38&gt;=1,$A38&lt;=8,G$29&gt;=1,G$29&lt;=8),(INDEX(Kernels!$G$5:$I$7,1,1)*INDEX(Datos!$B$3:$K$12,($A38+1)+-1,(G$29+1)+-1)+INDEX(Kernels!$G$5:$I$7,1,2)*INDEX(Datos!$B$3:$K$12,($A38+1)+-1,(G$29+1)+0)+INDEX(Kernels!$G$5:$I$7,1,3)*INDEX(Datos!$B$3:$K$12,($A38+1)+-1,(G$29+1)+1)+INDEX(Kernels!$G$5:$I$7,2,1)*INDEX(Datos!$B$3:$K$12,($A38+1)+0,(G$29+1)+-1)+INDEX(Kernels!$G$5:$I$7,2,2)*INDEX(Datos!$B$3:$K$12,($A38+1)+0,(G$29+1)+0)+INDEX(Kernels!$G$5:$I$7,2,3)*INDEX(Datos!$B$3:$K$12,($A38+1)+0,(G$29+1)+1)+INDEX(Kernels!$G$5:$I$7,3,1)*INDEX(Datos!$B$3:$K$12,($A38+1)+1,(G$29+1)+-1)+INDEX(Kernels!$G$5:$I$7,3,2)*INDEX(Datos!$B$3:$K$12,($A38+1)+1,(G$29+1)+0)+INDEX(Kernels!$G$5:$I$7,3,3)*INDEX(Datos!$B$3:$K$12,($A38+1)+1,(G$29+1)+1))/Kernels!$K$6,"")</f>
        <v>96.3125</v>
      </c>
      <c r="H38" s="9">
        <f>IF(AND($A38&gt;=1,$A38&lt;=8,H$29&gt;=1,H$29&lt;=8),(INDEX(Kernels!$G$5:$I$7,1,1)*INDEX(Datos!$B$3:$K$12,($A38+1)+-1,(H$29+1)+-1)+INDEX(Kernels!$G$5:$I$7,1,2)*INDEX(Datos!$B$3:$K$12,($A38+1)+-1,(H$29+1)+0)+INDEX(Kernels!$G$5:$I$7,1,3)*INDEX(Datos!$B$3:$K$12,($A38+1)+-1,(H$29+1)+1)+INDEX(Kernels!$G$5:$I$7,2,1)*INDEX(Datos!$B$3:$K$12,($A38+1)+0,(H$29+1)+-1)+INDEX(Kernels!$G$5:$I$7,2,2)*INDEX(Datos!$B$3:$K$12,($A38+1)+0,(H$29+1)+0)+INDEX(Kernels!$G$5:$I$7,2,3)*INDEX(Datos!$B$3:$K$12,($A38+1)+0,(H$29+1)+1)+INDEX(Kernels!$G$5:$I$7,3,1)*INDEX(Datos!$B$3:$K$12,($A38+1)+1,(H$29+1)+-1)+INDEX(Kernels!$G$5:$I$7,3,2)*INDEX(Datos!$B$3:$K$12,($A38+1)+1,(H$29+1)+0)+INDEX(Kernels!$G$5:$I$7,3,3)*INDEX(Datos!$B$3:$K$12,($A38+1)+1,(H$29+1)+1))/Kernels!$K$6,"")</f>
        <v>110.25</v>
      </c>
      <c r="I38" s="9">
        <f>IF(AND($A38&gt;=1,$A38&lt;=8,I$29&gt;=1,I$29&lt;=8),(INDEX(Kernels!$G$5:$I$7,1,1)*INDEX(Datos!$B$3:$K$12,($A38+1)+-1,(I$29+1)+-1)+INDEX(Kernels!$G$5:$I$7,1,2)*INDEX(Datos!$B$3:$K$12,($A38+1)+-1,(I$29+1)+0)+INDEX(Kernels!$G$5:$I$7,1,3)*INDEX(Datos!$B$3:$K$12,($A38+1)+-1,(I$29+1)+1)+INDEX(Kernels!$G$5:$I$7,2,1)*INDEX(Datos!$B$3:$K$12,($A38+1)+0,(I$29+1)+-1)+INDEX(Kernels!$G$5:$I$7,2,2)*INDEX(Datos!$B$3:$K$12,($A38+1)+0,(I$29+1)+0)+INDEX(Kernels!$G$5:$I$7,2,3)*INDEX(Datos!$B$3:$K$12,($A38+1)+0,(I$29+1)+1)+INDEX(Kernels!$G$5:$I$7,3,1)*INDEX(Datos!$B$3:$K$12,($A38+1)+1,(I$29+1)+-1)+INDEX(Kernels!$G$5:$I$7,3,2)*INDEX(Datos!$B$3:$K$12,($A38+1)+1,(I$29+1)+0)+INDEX(Kernels!$G$5:$I$7,3,3)*INDEX(Datos!$B$3:$K$12,($A38+1)+1,(I$29+1)+1))/Kernels!$K$6,"")</f>
        <v>130.125</v>
      </c>
      <c r="J38" s="9">
        <f>IF(AND($A38&gt;=1,$A38&lt;=8,J$29&gt;=1,J$29&lt;=8),(INDEX(Kernels!$G$5:$I$7,1,1)*INDEX(Datos!$B$3:$K$12,($A38+1)+-1,(J$29+1)+-1)+INDEX(Kernels!$G$5:$I$7,1,2)*INDEX(Datos!$B$3:$K$12,($A38+1)+-1,(J$29+1)+0)+INDEX(Kernels!$G$5:$I$7,1,3)*INDEX(Datos!$B$3:$K$12,($A38+1)+-1,(J$29+1)+1)+INDEX(Kernels!$G$5:$I$7,2,1)*INDEX(Datos!$B$3:$K$12,($A38+1)+0,(J$29+1)+-1)+INDEX(Kernels!$G$5:$I$7,2,2)*INDEX(Datos!$B$3:$K$12,($A38+1)+0,(J$29+1)+0)+INDEX(Kernels!$G$5:$I$7,2,3)*INDEX(Datos!$B$3:$K$12,($A38+1)+0,(J$29+1)+1)+INDEX(Kernels!$G$5:$I$7,3,1)*INDEX(Datos!$B$3:$K$12,($A38+1)+1,(J$29+1)+-1)+INDEX(Kernels!$G$5:$I$7,3,2)*INDEX(Datos!$B$3:$K$12,($A38+1)+1,(J$29+1)+0)+INDEX(Kernels!$G$5:$I$7,3,3)*INDEX(Datos!$B$3:$K$12,($A38+1)+1,(J$29+1)+1))/Kernels!$K$6,"")</f>
        <v>123.6875</v>
      </c>
      <c r="K38" s="9" t="str">
        <f>IF(AND($A38&gt;=1,$A38&lt;=8,K$29&gt;=1,K$29&lt;=8),(INDEX(Kernels!$G$5:$I$7,1,1)*INDEX(Datos!$B$3:$K$12,($A38+1)+-1,(K$29+1)+-1)+INDEX(Kernels!$G$5:$I$7,1,2)*INDEX(Datos!$B$3:$K$12,($A38+1)+-1,(K$29+1)+0)+INDEX(Kernels!$G$5:$I$7,1,3)*INDEX(Datos!$B$3:$K$12,($A38+1)+-1,(K$29+1)+1)+INDEX(Kernels!$G$5:$I$7,2,1)*INDEX(Datos!$B$3:$K$12,($A38+1)+0,(K$29+1)+-1)+INDEX(Kernels!$G$5:$I$7,2,2)*INDEX(Datos!$B$3:$K$12,($A38+1)+0,(K$29+1)+0)+INDEX(Kernels!$G$5:$I$7,2,3)*INDEX(Datos!$B$3:$K$12,($A38+1)+0,(K$29+1)+1)+INDEX(Kernels!$G$5:$I$7,3,1)*INDEX(Datos!$B$3:$K$12,($A38+1)+1,(K$29+1)+-1)+INDEX(Kernels!$G$5:$I$7,3,2)*INDEX(Datos!$B$3:$K$12,($A38+1)+1,(K$29+1)+0)+INDEX(Kernels!$G$5:$I$7,3,3)*INDEX(Datos!$B$3:$K$12,($A38+1)+1,(K$29+1)+1))/Kernels!$K$6,"")</f>
        <v/>
      </c>
    </row>
    <row r="39" spans="1:11" ht="24" customHeight="1" x14ac:dyDescent="0.2">
      <c r="A39" s="10">
        <v>9</v>
      </c>
      <c r="B39" s="9" t="str">
        <f>IF(AND($A39&gt;=1,$A39&lt;=8,B$29&gt;=1,B$29&lt;=8),(INDEX(Kernels!$G$5:$I$7,1,1)*INDEX(Datos!$B$3:$K$12,($A39+1)+-1,(B$29+1)+-1)+INDEX(Kernels!$G$5:$I$7,1,2)*INDEX(Datos!$B$3:$K$12,($A39+1)+-1,(B$29+1)+0)+INDEX(Kernels!$G$5:$I$7,1,3)*INDEX(Datos!$B$3:$K$12,($A39+1)+-1,(B$29+1)+1)+INDEX(Kernels!$G$5:$I$7,2,1)*INDEX(Datos!$B$3:$K$12,($A39+1)+0,(B$29+1)+-1)+INDEX(Kernels!$G$5:$I$7,2,2)*INDEX(Datos!$B$3:$K$12,($A39+1)+0,(B$29+1)+0)+INDEX(Kernels!$G$5:$I$7,2,3)*INDEX(Datos!$B$3:$K$12,($A39+1)+0,(B$29+1)+1)+INDEX(Kernels!$G$5:$I$7,3,1)*INDEX(Datos!$B$3:$K$12,($A39+1)+1,(B$29+1)+-1)+INDEX(Kernels!$G$5:$I$7,3,2)*INDEX(Datos!$B$3:$K$12,($A39+1)+1,(B$29+1)+0)+INDEX(Kernels!$G$5:$I$7,3,3)*INDEX(Datos!$B$3:$K$12,($A39+1)+1,(B$29+1)+1))/Kernels!$K$6,"")</f>
        <v/>
      </c>
      <c r="C39" s="9" t="str">
        <f>IF(AND($A39&gt;=1,$A39&lt;=8,C$29&gt;=1,C$29&lt;=8),(INDEX(Kernels!$G$5:$I$7,1,1)*INDEX(Datos!$B$3:$K$12,($A39+1)+-1,(C$29+1)+-1)+INDEX(Kernels!$G$5:$I$7,1,2)*INDEX(Datos!$B$3:$K$12,($A39+1)+-1,(C$29+1)+0)+INDEX(Kernels!$G$5:$I$7,1,3)*INDEX(Datos!$B$3:$K$12,($A39+1)+-1,(C$29+1)+1)+INDEX(Kernels!$G$5:$I$7,2,1)*INDEX(Datos!$B$3:$K$12,($A39+1)+0,(C$29+1)+-1)+INDEX(Kernels!$G$5:$I$7,2,2)*INDEX(Datos!$B$3:$K$12,($A39+1)+0,(C$29+1)+0)+INDEX(Kernels!$G$5:$I$7,2,3)*INDEX(Datos!$B$3:$K$12,($A39+1)+0,(C$29+1)+1)+INDEX(Kernels!$G$5:$I$7,3,1)*INDEX(Datos!$B$3:$K$12,($A39+1)+1,(C$29+1)+-1)+INDEX(Kernels!$G$5:$I$7,3,2)*INDEX(Datos!$B$3:$K$12,($A39+1)+1,(C$29+1)+0)+INDEX(Kernels!$G$5:$I$7,3,3)*INDEX(Datos!$B$3:$K$12,($A39+1)+1,(C$29+1)+1))/Kernels!$K$6,"")</f>
        <v/>
      </c>
      <c r="D39" s="9" t="str">
        <f>IF(AND($A39&gt;=1,$A39&lt;=8,D$29&gt;=1,D$29&lt;=8),(INDEX(Kernels!$G$5:$I$7,1,1)*INDEX(Datos!$B$3:$K$12,($A39+1)+-1,(D$29+1)+-1)+INDEX(Kernels!$G$5:$I$7,1,2)*INDEX(Datos!$B$3:$K$12,($A39+1)+-1,(D$29+1)+0)+INDEX(Kernels!$G$5:$I$7,1,3)*INDEX(Datos!$B$3:$K$12,($A39+1)+-1,(D$29+1)+1)+INDEX(Kernels!$G$5:$I$7,2,1)*INDEX(Datos!$B$3:$K$12,($A39+1)+0,(D$29+1)+-1)+INDEX(Kernels!$G$5:$I$7,2,2)*INDEX(Datos!$B$3:$K$12,($A39+1)+0,(D$29+1)+0)+INDEX(Kernels!$G$5:$I$7,2,3)*INDEX(Datos!$B$3:$K$12,($A39+1)+0,(D$29+1)+1)+INDEX(Kernels!$G$5:$I$7,3,1)*INDEX(Datos!$B$3:$K$12,($A39+1)+1,(D$29+1)+-1)+INDEX(Kernels!$G$5:$I$7,3,2)*INDEX(Datos!$B$3:$K$12,($A39+1)+1,(D$29+1)+0)+INDEX(Kernels!$G$5:$I$7,3,3)*INDEX(Datos!$B$3:$K$12,($A39+1)+1,(D$29+1)+1))/Kernels!$K$6,"")</f>
        <v/>
      </c>
      <c r="E39" s="9" t="str">
        <f>IF(AND($A39&gt;=1,$A39&lt;=8,E$29&gt;=1,E$29&lt;=8),(INDEX(Kernels!$G$5:$I$7,1,1)*INDEX(Datos!$B$3:$K$12,($A39+1)+-1,(E$29+1)+-1)+INDEX(Kernels!$G$5:$I$7,1,2)*INDEX(Datos!$B$3:$K$12,($A39+1)+-1,(E$29+1)+0)+INDEX(Kernels!$G$5:$I$7,1,3)*INDEX(Datos!$B$3:$K$12,($A39+1)+-1,(E$29+1)+1)+INDEX(Kernels!$G$5:$I$7,2,1)*INDEX(Datos!$B$3:$K$12,($A39+1)+0,(E$29+1)+-1)+INDEX(Kernels!$G$5:$I$7,2,2)*INDEX(Datos!$B$3:$K$12,($A39+1)+0,(E$29+1)+0)+INDEX(Kernels!$G$5:$I$7,2,3)*INDEX(Datos!$B$3:$K$12,($A39+1)+0,(E$29+1)+1)+INDEX(Kernels!$G$5:$I$7,3,1)*INDEX(Datos!$B$3:$K$12,($A39+1)+1,(E$29+1)+-1)+INDEX(Kernels!$G$5:$I$7,3,2)*INDEX(Datos!$B$3:$K$12,($A39+1)+1,(E$29+1)+0)+INDEX(Kernels!$G$5:$I$7,3,3)*INDEX(Datos!$B$3:$K$12,($A39+1)+1,(E$29+1)+1))/Kernels!$K$6,"")</f>
        <v/>
      </c>
      <c r="F39" s="9" t="str">
        <f>IF(AND($A39&gt;=1,$A39&lt;=8,F$29&gt;=1,F$29&lt;=8),(INDEX(Kernels!$G$5:$I$7,1,1)*INDEX(Datos!$B$3:$K$12,($A39+1)+-1,(F$29+1)+-1)+INDEX(Kernels!$G$5:$I$7,1,2)*INDEX(Datos!$B$3:$K$12,($A39+1)+-1,(F$29+1)+0)+INDEX(Kernels!$G$5:$I$7,1,3)*INDEX(Datos!$B$3:$K$12,($A39+1)+-1,(F$29+1)+1)+INDEX(Kernels!$G$5:$I$7,2,1)*INDEX(Datos!$B$3:$K$12,($A39+1)+0,(F$29+1)+-1)+INDEX(Kernels!$G$5:$I$7,2,2)*INDEX(Datos!$B$3:$K$12,($A39+1)+0,(F$29+1)+0)+INDEX(Kernels!$G$5:$I$7,2,3)*INDEX(Datos!$B$3:$K$12,($A39+1)+0,(F$29+1)+1)+INDEX(Kernels!$G$5:$I$7,3,1)*INDEX(Datos!$B$3:$K$12,($A39+1)+1,(F$29+1)+-1)+INDEX(Kernels!$G$5:$I$7,3,2)*INDEX(Datos!$B$3:$K$12,($A39+1)+1,(F$29+1)+0)+INDEX(Kernels!$G$5:$I$7,3,3)*INDEX(Datos!$B$3:$K$12,($A39+1)+1,(F$29+1)+1))/Kernels!$K$6,"")</f>
        <v/>
      </c>
      <c r="G39" s="9" t="str">
        <f>IF(AND($A39&gt;=1,$A39&lt;=8,G$29&gt;=1,G$29&lt;=8),(INDEX(Kernels!$G$5:$I$7,1,1)*INDEX(Datos!$B$3:$K$12,($A39+1)+-1,(G$29+1)+-1)+INDEX(Kernels!$G$5:$I$7,1,2)*INDEX(Datos!$B$3:$K$12,($A39+1)+-1,(G$29+1)+0)+INDEX(Kernels!$G$5:$I$7,1,3)*INDEX(Datos!$B$3:$K$12,($A39+1)+-1,(G$29+1)+1)+INDEX(Kernels!$G$5:$I$7,2,1)*INDEX(Datos!$B$3:$K$12,($A39+1)+0,(G$29+1)+-1)+INDEX(Kernels!$G$5:$I$7,2,2)*INDEX(Datos!$B$3:$K$12,($A39+1)+0,(G$29+1)+0)+INDEX(Kernels!$G$5:$I$7,2,3)*INDEX(Datos!$B$3:$K$12,($A39+1)+0,(G$29+1)+1)+INDEX(Kernels!$G$5:$I$7,3,1)*INDEX(Datos!$B$3:$K$12,($A39+1)+1,(G$29+1)+-1)+INDEX(Kernels!$G$5:$I$7,3,2)*INDEX(Datos!$B$3:$K$12,($A39+1)+1,(G$29+1)+0)+INDEX(Kernels!$G$5:$I$7,3,3)*INDEX(Datos!$B$3:$K$12,($A39+1)+1,(G$29+1)+1))/Kernels!$K$6,"")</f>
        <v/>
      </c>
      <c r="H39" s="9" t="str">
        <f>IF(AND($A39&gt;=1,$A39&lt;=8,H$29&gt;=1,H$29&lt;=8),(INDEX(Kernels!$G$5:$I$7,1,1)*INDEX(Datos!$B$3:$K$12,($A39+1)+-1,(H$29+1)+-1)+INDEX(Kernels!$G$5:$I$7,1,2)*INDEX(Datos!$B$3:$K$12,($A39+1)+-1,(H$29+1)+0)+INDEX(Kernels!$G$5:$I$7,1,3)*INDEX(Datos!$B$3:$K$12,($A39+1)+-1,(H$29+1)+1)+INDEX(Kernels!$G$5:$I$7,2,1)*INDEX(Datos!$B$3:$K$12,($A39+1)+0,(H$29+1)+-1)+INDEX(Kernels!$G$5:$I$7,2,2)*INDEX(Datos!$B$3:$K$12,($A39+1)+0,(H$29+1)+0)+INDEX(Kernels!$G$5:$I$7,2,3)*INDEX(Datos!$B$3:$K$12,($A39+1)+0,(H$29+1)+1)+INDEX(Kernels!$G$5:$I$7,3,1)*INDEX(Datos!$B$3:$K$12,($A39+1)+1,(H$29+1)+-1)+INDEX(Kernels!$G$5:$I$7,3,2)*INDEX(Datos!$B$3:$K$12,($A39+1)+1,(H$29+1)+0)+INDEX(Kernels!$G$5:$I$7,3,3)*INDEX(Datos!$B$3:$K$12,($A39+1)+1,(H$29+1)+1))/Kernels!$K$6,"")</f>
        <v/>
      </c>
      <c r="I39" s="9" t="str">
        <f>IF(AND($A39&gt;=1,$A39&lt;=8,I$29&gt;=1,I$29&lt;=8),(INDEX(Kernels!$G$5:$I$7,1,1)*INDEX(Datos!$B$3:$K$12,($A39+1)+-1,(I$29+1)+-1)+INDEX(Kernels!$G$5:$I$7,1,2)*INDEX(Datos!$B$3:$K$12,($A39+1)+-1,(I$29+1)+0)+INDEX(Kernels!$G$5:$I$7,1,3)*INDEX(Datos!$B$3:$K$12,($A39+1)+-1,(I$29+1)+1)+INDEX(Kernels!$G$5:$I$7,2,1)*INDEX(Datos!$B$3:$K$12,($A39+1)+0,(I$29+1)+-1)+INDEX(Kernels!$G$5:$I$7,2,2)*INDEX(Datos!$B$3:$K$12,($A39+1)+0,(I$29+1)+0)+INDEX(Kernels!$G$5:$I$7,2,3)*INDEX(Datos!$B$3:$K$12,($A39+1)+0,(I$29+1)+1)+INDEX(Kernels!$G$5:$I$7,3,1)*INDEX(Datos!$B$3:$K$12,($A39+1)+1,(I$29+1)+-1)+INDEX(Kernels!$G$5:$I$7,3,2)*INDEX(Datos!$B$3:$K$12,($A39+1)+1,(I$29+1)+0)+INDEX(Kernels!$G$5:$I$7,3,3)*INDEX(Datos!$B$3:$K$12,($A39+1)+1,(I$29+1)+1))/Kernels!$K$6,"")</f>
        <v/>
      </c>
      <c r="J39" s="9" t="str">
        <f>IF(AND($A39&gt;=1,$A39&lt;=8,J$29&gt;=1,J$29&lt;=8),(INDEX(Kernels!$G$5:$I$7,1,1)*INDEX(Datos!$B$3:$K$12,($A39+1)+-1,(J$29+1)+-1)+INDEX(Kernels!$G$5:$I$7,1,2)*INDEX(Datos!$B$3:$K$12,($A39+1)+-1,(J$29+1)+0)+INDEX(Kernels!$G$5:$I$7,1,3)*INDEX(Datos!$B$3:$K$12,($A39+1)+-1,(J$29+1)+1)+INDEX(Kernels!$G$5:$I$7,2,1)*INDEX(Datos!$B$3:$K$12,($A39+1)+0,(J$29+1)+-1)+INDEX(Kernels!$G$5:$I$7,2,2)*INDEX(Datos!$B$3:$K$12,($A39+1)+0,(J$29+1)+0)+INDEX(Kernels!$G$5:$I$7,2,3)*INDEX(Datos!$B$3:$K$12,($A39+1)+0,(J$29+1)+1)+INDEX(Kernels!$G$5:$I$7,3,1)*INDEX(Datos!$B$3:$K$12,($A39+1)+1,(J$29+1)+-1)+INDEX(Kernels!$G$5:$I$7,3,2)*INDEX(Datos!$B$3:$K$12,($A39+1)+1,(J$29+1)+0)+INDEX(Kernels!$G$5:$I$7,3,3)*INDEX(Datos!$B$3:$K$12,($A39+1)+1,(J$29+1)+1))/Kernels!$K$6,"")</f>
        <v/>
      </c>
      <c r="K39" s="9" t="str">
        <f>IF(AND($A39&gt;=1,$A39&lt;=8,K$29&gt;=1,K$29&lt;=8),(INDEX(Kernels!$G$5:$I$7,1,1)*INDEX(Datos!$B$3:$K$12,($A39+1)+-1,(K$29+1)+-1)+INDEX(Kernels!$G$5:$I$7,1,2)*INDEX(Datos!$B$3:$K$12,($A39+1)+-1,(K$29+1)+0)+INDEX(Kernels!$G$5:$I$7,1,3)*INDEX(Datos!$B$3:$K$12,($A39+1)+-1,(K$29+1)+1)+INDEX(Kernels!$G$5:$I$7,2,1)*INDEX(Datos!$B$3:$K$12,($A39+1)+0,(K$29+1)+-1)+INDEX(Kernels!$G$5:$I$7,2,2)*INDEX(Datos!$B$3:$K$12,($A39+1)+0,(K$29+1)+0)+INDEX(Kernels!$G$5:$I$7,2,3)*INDEX(Datos!$B$3:$K$12,($A39+1)+0,(K$29+1)+1)+INDEX(Kernels!$G$5:$I$7,3,1)*INDEX(Datos!$B$3:$K$12,($A39+1)+1,(K$29+1)+-1)+INDEX(Kernels!$G$5:$I$7,3,2)*INDEX(Datos!$B$3:$K$12,($A39+1)+1,(K$29+1)+0)+INDEX(Kernels!$G$5:$I$7,3,3)*INDEX(Datos!$B$3:$K$12,($A39+1)+1,(K$29+1)+1))/Kernels!$K$6,"")</f>
        <v/>
      </c>
    </row>
    <row r="40" spans="1:11" ht="24" customHeight="1" x14ac:dyDescent="0.2"/>
    <row r="41" spans="1:11" ht="24" customHeight="1" x14ac:dyDescent="0.2"/>
    <row r="42" spans="1:11" ht="24" customHeight="1" x14ac:dyDescent="0.2">
      <c r="A42" s="16" t="s">
        <v>31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</row>
    <row r="43" spans="1:11" ht="24" customHeight="1" x14ac:dyDescent="0.2">
      <c r="A43" s="10" t="s">
        <v>1</v>
      </c>
      <c r="B43" s="10">
        <v>0</v>
      </c>
      <c r="C43" s="10">
        <v>1</v>
      </c>
      <c r="D43" s="10">
        <v>2</v>
      </c>
      <c r="E43" s="10">
        <v>3</v>
      </c>
      <c r="F43" s="10">
        <v>4</v>
      </c>
      <c r="G43" s="10">
        <v>5</v>
      </c>
      <c r="H43" s="10">
        <v>6</v>
      </c>
      <c r="I43" s="10">
        <v>7</v>
      </c>
      <c r="J43" s="10">
        <v>8</v>
      </c>
      <c r="K43" s="10">
        <v>9</v>
      </c>
    </row>
    <row r="44" spans="1:11" ht="24" customHeight="1" x14ac:dyDescent="0.2">
      <c r="A44" s="10">
        <v>0</v>
      </c>
      <c r="B44" s="9" t="str">
        <f>IF(AND($A44&gt;=1,$A44&lt;=8,B$43&gt;=1,B$43&lt;=8),ABS(INDEX(Kernels!$B$13:$D$15,1,1)*INDEX(Datos!$B$3:$K$12,($A44+1)+-1,(B$43+1)+-1)+INDEX(Kernels!$B$13:$D$15,1,2)*INDEX(Datos!$B$3:$K$12,($A44+1)+-1,(B$43+1)+0)+INDEX(Kernels!$B$13:$D$15,1,3)*INDEX(Datos!$B$3:$K$12,($A44+1)+-1,(B$43+1)+1)+INDEX(Kernels!$B$13:$D$15,2,1)*INDEX(Datos!$B$3:$K$12,($A44+1)+0,(B$43+1)+-1)+INDEX(Kernels!$B$13:$D$15,2,2)*INDEX(Datos!$B$3:$K$12,($A44+1)+0,(B$43+1)+0)+INDEX(Kernels!$B$13:$D$15,2,3)*INDEX(Datos!$B$3:$K$12,($A44+1)+0,(B$43+1)+1)+INDEX(Kernels!$B$13:$D$15,3,1)*INDEX(Datos!$B$3:$K$12,($A44+1)+1,(B$43+1)+-1)+INDEX(Kernels!$B$13:$D$15,3,2)*INDEX(Datos!$B$3:$K$12,($A44+1)+1,(B$43+1)+0)+INDEX(Kernels!$B$13:$D$15,3,3)*INDEX(Datos!$B$3:$K$12,($A44+1)+1,(B$43+1)+1)),"")</f>
        <v/>
      </c>
      <c r="C44" s="9" t="str">
        <f>IF(AND($A44&gt;=1,$A44&lt;=8,C$43&gt;=1,C$43&lt;=8),ABS(INDEX(Kernels!$B$13:$D$15,1,1)*INDEX(Datos!$B$3:$K$12,($A44+1)+-1,(C$43+1)+-1)+INDEX(Kernels!$B$13:$D$15,1,2)*INDEX(Datos!$B$3:$K$12,($A44+1)+-1,(C$43+1)+0)+INDEX(Kernels!$B$13:$D$15,1,3)*INDEX(Datos!$B$3:$K$12,($A44+1)+-1,(C$43+1)+1)+INDEX(Kernels!$B$13:$D$15,2,1)*INDEX(Datos!$B$3:$K$12,($A44+1)+0,(C$43+1)+-1)+INDEX(Kernels!$B$13:$D$15,2,2)*INDEX(Datos!$B$3:$K$12,($A44+1)+0,(C$43+1)+0)+INDEX(Kernels!$B$13:$D$15,2,3)*INDEX(Datos!$B$3:$K$12,($A44+1)+0,(C$43+1)+1)+INDEX(Kernels!$B$13:$D$15,3,1)*INDEX(Datos!$B$3:$K$12,($A44+1)+1,(C$43+1)+-1)+INDEX(Kernels!$B$13:$D$15,3,2)*INDEX(Datos!$B$3:$K$12,($A44+1)+1,(C$43+1)+0)+INDEX(Kernels!$B$13:$D$15,3,3)*INDEX(Datos!$B$3:$K$12,($A44+1)+1,(C$43+1)+1)),"")</f>
        <v/>
      </c>
      <c r="D44" s="9" t="str">
        <f>IF(AND($A44&gt;=1,$A44&lt;=8,D$43&gt;=1,D$43&lt;=8),ABS(INDEX(Kernels!$B$13:$D$15,1,1)*INDEX(Datos!$B$3:$K$12,($A44+1)+-1,(D$43+1)+-1)+INDEX(Kernels!$B$13:$D$15,1,2)*INDEX(Datos!$B$3:$K$12,($A44+1)+-1,(D$43+1)+0)+INDEX(Kernels!$B$13:$D$15,1,3)*INDEX(Datos!$B$3:$K$12,($A44+1)+-1,(D$43+1)+1)+INDEX(Kernels!$B$13:$D$15,2,1)*INDEX(Datos!$B$3:$K$12,($A44+1)+0,(D$43+1)+-1)+INDEX(Kernels!$B$13:$D$15,2,2)*INDEX(Datos!$B$3:$K$12,($A44+1)+0,(D$43+1)+0)+INDEX(Kernels!$B$13:$D$15,2,3)*INDEX(Datos!$B$3:$K$12,($A44+1)+0,(D$43+1)+1)+INDEX(Kernels!$B$13:$D$15,3,1)*INDEX(Datos!$B$3:$K$12,($A44+1)+1,(D$43+1)+-1)+INDEX(Kernels!$B$13:$D$15,3,2)*INDEX(Datos!$B$3:$K$12,($A44+1)+1,(D$43+1)+0)+INDEX(Kernels!$B$13:$D$15,3,3)*INDEX(Datos!$B$3:$K$12,($A44+1)+1,(D$43+1)+1)),"")</f>
        <v/>
      </c>
      <c r="E44" s="9" t="str">
        <f>IF(AND($A44&gt;=1,$A44&lt;=8,E$43&gt;=1,E$43&lt;=8),ABS(INDEX(Kernels!$B$13:$D$15,1,1)*INDEX(Datos!$B$3:$K$12,($A44+1)+-1,(E$43+1)+-1)+INDEX(Kernels!$B$13:$D$15,1,2)*INDEX(Datos!$B$3:$K$12,($A44+1)+-1,(E$43+1)+0)+INDEX(Kernels!$B$13:$D$15,1,3)*INDEX(Datos!$B$3:$K$12,($A44+1)+-1,(E$43+1)+1)+INDEX(Kernels!$B$13:$D$15,2,1)*INDEX(Datos!$B$3:$K$12,($A44+1)+0,(E$43+1)+-1)+INDEX(Kernels!$B$13:$D$15,2,2)*INDEX(Datos!$B$3:$K$12,($A44+1)+0,(E$43+1)+0)+INDEX(Kernels!$B$13:$D$15,2,3)*INDEX(Datos!$B$3:$K$12,($A44+1)+0,(E$43+1)+1)+INDEX(Kernels!$B$13:$D$15,3,1)*INDEX(Datos!$B$3:$K$12,($A44+1)+1,(E$43+1)+-1)+INDEX(Kernels!$B$13:$D$15,3,2)*INDEX(Datos!$B$3:$K$12,($A44+1)+1,(E$43+1)+0)+INDEX(Kernels!$B$13:$D$15,3,3)*INDEX(Datos!$B$3:$K$12,($A44+1)+1,(E$43+1)+1)),"")</f>
        <v/>
      </c>
      <c r="F44" s="9" t="str">
        <f>IF(AND($A44&gt;=1,$A44&lt;=8,F$43&gt;=1,F$43&lt;=8),ABS(INDEX(Kernels!$B$13:$D$15,1,1)*INDEX(Datos!$B$3:$K$12,($A44+1)+-1,(F$43+1)+-1)+INDEX(Kernels!$B$13:$D$15,1,2)*INDEX(Datos!$B$3:$K$12,($A44+1)+-1,(F$43+1)+0)+INDEX(Kernels!$B$13:$D$15,1,3)*INDEX(Datos!$B$3:$K$12,($A44+1)+-1,(F$43+1)+1)+INDEX(Kernels!$B$13:$D$15,2,1)*INDEX(Datos!$B$3:$K$12,($A44+1)+0,(F$43+1)+-1)+INDEX(Kernels!$B$13:$D$15,2,2)*INDEX(Datos!$B$3:$K$12,($A44+1)+0,(F$43+1)+0)+INDEX(Kernels!$B$13:$D$15,2,3)*INDEX(Datos!$B$3:$K$12,($A44+1)+0,(F$43+1)+1)+INDEX(Kernels!$B$13:$D$15,3,1)*INDEX(Datos!$B$3:$K$12,($A44+1)+1,(F$43+1)+-1)+INDEX(Kernels!$B$13:$D$15,3,2)*INDEX(Datos!$B$3:$K$12,($A44+1)+1,(F$43+1)+0)+INDEX(Kernels!$B$13:$D$15,3,3)*INDEX(Datos!$B$3:$K$12,($A44+1)+1,(F$43+1)+1)),"")</f>
        <v/>
      </c>
      <c r="G44" s="9" t="str">
        <f>IF(AND($A44&gt;=1,$A44&lt;=8,G$43&gt;=1,G$43&lt;=8),ABS(INDEX(Kernels!$B$13:$D$15,1,1)*INDEX(Datos!$B$3:$K$12,($A44+1)+-1,(G$43+1)+-1)+INDEX(Kernels!$B$13:$D$15,1,2)*INDEX(Datos!$B$3:$K$12,($A44+1)+-1,(G$43+1)+0)+INDEX(Kernels!$B$13:$D$15,1,3)*INDEX(Datos!$B$3:$K$12,($A44+1)+-1,(G$43+1)+1)+INDEX(Kernels!$B$13:$D$15,2,1)*INDEX(Datos!$B$3:$K$12,($A44+1)+0,(G$43+1)+-1)+INDEX(Kernels!$B$13:$D$15,2,2)*INDEX(Datos!$B$3:$K$12,($A44+1)+0,(G$43+1)+0)+INDEX(Kernels!$B$13:$D$15,2,3)*INDEX(Datos!$B$3:$K$12,($A44+1)+0,(G$43+1)+1)+INDEX(Kernels!$B$13:$D$15,3,1)*INDEX(Datos!$B$3:$K$12,($A44+1)+1,(G$43+1)+-1)+INDEX(Kernels!$B$13:$D$15,3,2)*INDEX(Datos!$B$3:$K$12,($A44+1)+1,(G$43+1)+0)+INDEX(Kernels!$B$13:$D$15,3,3)*INDEX(Datos!$B$3:$K$12,($A44+1)+1,(G$43+1)+1)),"")</f>
        <v/>
      </c>
      <c r="H44" s="9" t="str">
        <f>IF(AND($A44&gt;=1,$A44&lt;=8,H$43&gt;=1,H$43&lt;=8),ABS(INDEX(Kernels!$B$13:$D$15,1,1)*INDEX(Datos!$B$3:$K$12,($A44+1)+-1,(H$43+1)+-1)+INDEX(Kernels!$B$13:$D$15,1,2)*INDEX(Datos!$B$3:$K$12,($A44+1)+-1,(H$43+1)+0)+INDEX(Kernels!$B$13:$D$15,1,3)*INDEX(Datos!$B$3:$K$12,($A44+1)+-1,(H$43+1)+1)+INDEX(Kernels!$B$13:$D$15,2,1)*INDEX(Datos!$B$3:$K$12,($A44+1)+0,(H$43+1)+-1)+INDEX(Kernels!$B$13:$D$15,2,2)*INDEX(Datos!$B$3:$K$12,($A44+1)+0,(H$43+1)+0)+INDEX(Kernels!$B$13:$D$15,2,3)*INDEX(Datos!$B$3:$K$12,($A44+1)+0,(H$43+1)+1)+INDEX(Kernels!$B$13:$D$15,3,1)*INDEX(Datos!$B$3:$K$12,($A44+1)+1,(H$43+1)+-1)+INDEX(Kernels!$B$13:$D$15,3,2)*INDEX(Datos!$B$3:$K$12,($A44+1)+1,(H$43+1)+0)+INDEX(Kernels!$B$13:$D$15,3,3)*INDEX(Datos!$B$3:$K$12,($A44+1)+1,(H$43+1)+1)),"")</f>
        <v/>
      </c>
      <c r="I44" s="9" t="str">
        <f>IF(AND($A44&gt;=1,$A44&lt;=8,I$43&gt;=1,I$43&lt;=8),ABS(INDEX(Kernels!$B$13:$D$15,1,1)*INDEX(Datos!$B$3:$K$12,($A44+1)+-1,(I$43+1)+-1)+INDEX(Kernels!$B$13:$D$15,1,2)*INDEX(Datos!$B$3:$K$12,($A44+1)+-1,(I$43+1)+0)+INDEX(Kernels!$B$13:$D$15,1,3)*INDEX(Datos!$B$3:$K$12,($A44+1)+-1,(I$43+1)+1)+INDEX(Kernels!$B$13:$D$15,2,1)*INDEX(Datos!$B$3:$K$12,($A44+1)+0,(I$43+1)+-1)+INDEX(Kernels!$B$13:$D$15,2,2)*INDEX(Datos!$B$3:$K$12,($A44+1)+0,(I$43+1)+0)+INDEX(Kernels!$B$13:$D$15,2,3)*INDEX(Datos!$B$3:$K$12,($A44+1)+0,(I$43+1)+1)+INDEX(Kernels!$B$13:$D$15,3,1)*INDEX(Datos!$B$3:$K$12,($A44+1)+1,(I$43+1)+-1)+INDEX(Kernels!$B$13:$D$15,3,2)*INDEX(Datos!$B$3:$K$12,($A44+1)+1,(I$43+1)+0)+INDEX(Kernels!$B$13:$D$15,3,3)*INDEX(Datos!$B$3:$K$12,($A44+1)+1,(I$43+1)+1)),"")</f>
        <v/>
      </c>
      <c r="J44" s="9" t="str">
        <f>IF(AND($A44&gt;=1,$A44&lt;=8,J$43&gt;=1,J$43&lt;=8),ABS(INDEX(Kernels!$B$13:$D$15,1,1)*INDEX(Datos!$B$3:$K$12,($A44+1)+-1,(J$43+1)+-1)+INDEX(Kernels!$B$13:$D$15,1,2)*INDEX(Datos!$B$3:$K$12,($A44+1)+-1,(J$43+1)+0)+INDEX(Kernels!$B$13:$D$15,1,3)*INDEX(Datos!$B$3:$K$12,($A44+1)+-1,(J$43+1)+1)+INDEX(Kernels!$B$13:$D$15,2,1)*INDEX(Datos!$B$3:$K$12,($A44+1)+0,(J$43+1)+-1)+INDEX(Kernels!$B$13:$D$15,2,2)*INDEX(Datos!$B$3:$K$12,($A44+1)+0,(J$43+1)+0)+INDEX(Kernels!$B$13:$D$15,2,3)*INDEX(Datos!$B$3:$K$12,($A44+1)+0,(J$43+1)+1)+INDEX(Kernels!$B$13:$D$15,3,1)*INDEX(Datos!$B$3:$K$12,($A44+1)+1,(J$43+1)+-1)+INDEX(Kernels!$B$13:$D$15,3,2)*INDEX(Datos!$B$3:$K$12,($A44+1)+1,(J$43+1)+0)+INDEX(Kernels!$B$13:$D$15,3,3)*INDEX(Datos!$B$3:$K$12,($A44+1)+1,(J$43+1)+1)),"")</f>
        <v/>
      </c>
      <c r="K44" s="9" t="str">
        <f>IF(AND($A44&gt;=1,$A44&lt;=8,K$43&gt;=1,K$43&lt;=8),ABS(INDEX(Kernels!$B$13:$D$15,1,1)*INDEX(Datos!$B$3:$K$12,($A44+1)+-1,(K$43+1)+-1)+INDEX(Kernels!$B$13:$D$15,1,2)*INDEX(Datos!$B$3:$K$12,($A44+1)+-1,(K$43+1)+0)+INDEX(Kernels!$B$13:$D$15,1,3)*INDEX(Datos!$B$3:$K$12,($A44+1)+-1,(K$43+1)+1)+INDEX(Kernels!$B$13:$D$15,2,1)*INDEX(Datos!$B$3:$K$12,($A44+1)+0,(K$43+1)+-1)+INDEX(Kernels!$B$13:$D$15,2,2)*INDEX(Datos!$B$3:$K$12,($A44+1)+0,(K$43+1)+0)+INDEX(Kernels!$B$13:$D$15,2,3)*INDEX(Datos!$B$3:$K$12,($A44+1)+0,(K$43+1)+1)+INDEX(Kernels!$B$13:$D$15,3,1)*INDEX(Datos!$B$3:$K$12,($A44+1)+1,(K$43+1)+-1)+INDEX(Kernels!$B$13:$D$15,3,2)*INDEX(Datos!$B$3:$K$12,($A44+1)+1,(K$43+1)+0)+INDEX(Kernels!$B$13:$D$15,3,3)*INDEX(Datos!$B$3:$K$12,($A44+1)+1,(K$43+1)+1)),"")</f>
        <v/>
      </c>
    </row>
    <row r="45" spans="1:11" ht="24" customHeight="1" x14ac:dyDescent="0.2">
      <c r="A45" s="10">
        <v>1</v>
      </c>
      <c r="B45" s="9" t="str">
        <f>IF(AND($A45&gt;=1,$A45&lt;=8,B$43&gt;=1,B$43&lt;=8),ABS(INDEX(Kernels!$B$13:$D$15,1,1)*INDEX(Datos!$B$3:$K$12,($A45+1)+-1,(B$43+1)+-1)+INDEX(Kernels!$B$13:$D$15,1,2)*INDEX(Datos!$B$3:$K$12,($A45+1)+-1,(B$43+1)+0)+INDEX(Kernels!$B$13:$D$15,1,3)*INDEX(Datos!$B$3:$K$12,($A45+1)+-1,(B$43+1)+1)+INDEX(Kernels!$B$13:$D$15,2,1)*INDEX(Datos!$B$3:$K$12,($A45+1)+0,(B$43+1)+-1)+INDEX(Kernels!$B$13:$D$15,2,2)*INDEX(Datos!$B$3:$K$12,($A45+1)+0,(B$43+1)+0)+INDEX(Kernels!$B$13:$D$15,2,3)*INDEX(Datos!$B$3:$K$12,($A45+1)+0,(B$43+1)+1)+INDEX(Kernels!$B$13:$D$15,3,1)*INDEX(Datos!$B$3:$K$12,($A45+1)+1,(B$43+1)+-1)+INDEX(Kernels!$B$13:$D$15,3,2)*INDEX(Datos!$B$3:$K$12,($A45+1)+1,(B$43+1)+0)+INDEX(Kernels!$B$13:$D$15,3,3)*INDEX(Datos!$B$3:$K$12,($A45+1)+1,(B$43+1)+1)),"")</f>
        <v/>
      </c>
      <c r="C45" s="9">
        <f>IF(AND($A45&gt;=1,$A45&lt;=8,C$43&gt;=1,C$43&lt;=8),ABS(INDEX(Kernels!$B$13:$D$15,1,1)*INDEX(Datos!$B$3:$K$12,($A45+1)+-1,(C$43+1)+-1)+INDEX(Kernels!$B$13:$D$15,1,2)*INDEX(Datos!$B$3:$K$12,($A45+1)+-1,(C$43+1)+0)+INDEX(Kernels!$B$13:$D$15,1,3)*INDEX(Datos!$B$3:$K$12,($A45+1)+-1,(C$43+1)+1)+INDEX(Kernels!$B$13:$D$15,2,1)*INDEX(Datos!$B$3:$K$12,($A45+1)+0,(C$43+1)+-1)+INDEX(Kernels!$B$13:$D$15,2,2)*INDEX(Datos!$B$3:$K$12,($A45+1)+0,(C$43+1)+0)+INDEX(Kernels!$B$13:$D$15,2,3)*INDEX(Datos!$B$3:$K$12,($A45+1)+0,(C$43+1)+1)+INDEX(Kernels!$B$13:$D$15,3,1)*INDEX(Datos!$B$3:$K$12,($A45+1)+1,(C$43+1)+-1)+INDEX(Kernels!$B$13:$D$15,3,2)*INDEX(Datos!$B$3:$K$12,($A45+1)+1,(C$43+1)+0)+INDEX(Kernels!$B$13:$D$15,3,3)*INDEX(Datos!$B$3:$K$12,($A45+1)+1,(C$43+1)+1)),"")</f>
        <v>18</v>
      </c>
      <c r="D45" s="9">
        <f>IF(AND($A45&gt;=1,$A45&lt;=8,D$43&gt;=1,D$43&lt;=8),ABS(INDEX(Kernels!$B$13:$D$15,1,1)*INDEX(Datos!$B$3:$K$12,($A45+1)+-1,(D$43+1)+-1)+INDEX(Kernels!$B$13:$D$15,1,2)*INDEX(Datos!$B$3:$K$12,($A45+1)+-1,(D$43+1)+0)+INDEX(Kernels!$B$13:$D$15,1,3)*INDEX(Datos!$B$3:$K$12,($A45+1)+-1,(D$43+1)+1)+INDEX(Kernels!$B$13:$D$15,2,1)*INDEX(Datos!$B$3:$K$12,($A45+1)+0,(D$43+1)+-1)+INDEX(Kernels!$B$13:$D$15,2,2)*INDEX(Datos!$B$3:$K$12,($A45+1)+0,(D$43+1)+0)+INDEX(Kernels!$B$13:$D$15,2,3)*INDEX(Datos!$B$3:$K$12,($A45+1)+0,(D$43+1)+1)+INDEX(Kernels!$B$13:$D$15,3,1)*INDEX(Datos!$B$3:$K$12,($A45+1)+1,(D$43+1)+-1)+INDEX(Kernels!$B$13:$D$15,3,2)*INDEX(Datos!$B$3:$K$12,($A45+1)+1,(D$43+1)+0)+INDEX(Kernels!$B$13:$D$15,3,3)*INDEX(Datos!$B$3:$K$12,($A45+1)+1,(D$43+1)+1)),"")</f>
        <v>13</v>
      </c>
      <c r="E45" s="9">
        <f>IF(AND($A45&gt;=1,$A45&lt;=8,E$43&gt;=1,E$43&lt;=8),ABS(INDEX(Kernels!$B$13:$D$15,1,1)*INDEX(Datos!$B$3:$K$12,($A45+1)+-1,(E$43+1)+-1)+INDEX(Kernels!$B$13:$D$15,1,2)*INDEX(Datos!$B$3:$K$12,($A45+1)+-1,(E$43+1)+0)+INDEX(Kernels!$B$13:$D$15,1,3)*INDEX(Datos!$B$3:$K$12,($A45+1)+-1,(E$43+1)+1)+INDEX(Kernels!$B$13:$D$15,2,1)*INDEX(Datos!$B$3:$K$12,($A45+1)+0,(E$43+1)+-1)+INDEX(Kernels!$B$13:$D$15,2,2)*INDEX(Datos!$B$3:$K$12,($A45+1)+0,(E$43+1)+0)+INDEX(Kernels!$B$13:$D$15,2,3)*INDEX(Datos!$B$3:$K$12,($A45+1)+0,(E$43+1)+1)+INDEX(Kernels!$B$13:$D$15,3,1)*INDEX(Datos!$B$3:$K$12,($A45+1)+1,(E$43+1)+-1)+INDEX(Kernels!$B$13:$D$15,3,2)*INDEX(Datos!$B$3:$K$12,($A45+1)+1,(E$43+1)+0)+INDEX(Kernels!$B$13:$D$15,3,3)*INDEX(Datos!$B$3:$K$12,($A45+1)+1,(E$43+1)+1)),"")</f>
        <v>80</v>
      </c>
      <c r="F45" s="9">
        <f>IF(AND($A45&gt;=1,$A45&lt;=8,F$43&gt;=1,F$43&lt;=8),ABS(INDEX(Kernels!$B$13:$D$15,1,1)*INDEX(Datos!$B$3:$K$12,($A45+1)+-1,(F$43+1)+-1)+INDEX(Kernels!$B$13:$D$15,1,2)*INDEX(Datos!$B$3:$K$12,($A45+1)+-1,(F$43+1)+0)+INDEX(Kernels!$B$13:$D$15,1,3)*INDEX(Datos!$B$3:$K$12,($A45+1)+-1,(F$43+1)+1)+INDEX(Kernels!$B$13:$D$15,2,1)*INDEX(Datos!$B$3:$K$12,($A45+1)+0,(F$43+1)+-1)+INDEX(Kernels!$B$13:$D$15,2,2)*INDEX(Datos!$B$3:$K$12,($A45+1)+0,(F$43+1)+0)+INDEX(Kernels!$B$13:$D$15,2,3)*INDEX(Datos!$B$3:$K$12,($A45+1)+0,(F$43+1)+1)+INDEX(Kernels!$B$13:$D$15,3,1)*INDEX(Datos!$B$3:$K$12,($A45+1)+1,(F$43+1)+-1)+INDEX(Kernels!$B$13:$D$15,3,2)*INDEX(Datos!$B$3:$K$12,($A45+1)+1,(F$43+1)+0)+INDEX(Kernels!$B$13:$D$15,3,3)*INDEX(Datos!$B$3:$K$12,($A45+1)+1,(F$43+1)+1)),"")</f>
        <v>93</v>
      </c>
      <c r="G45" s="9">
        <f>IF(AND($A45&gt;=1,$A45&lt;=8,G$43&gt;=1,G$43&lt;=8),ABS(INDEX(Kernels!$B$13:$D$15,1,1)*INDEX(Datos!$B$3:$K$12,($A45+1)+-1,(G$43+1)+-1)+INDEX(Kernels!$B$13:$D$15,1,2)*INDEX(Datos!$B$3:$K$12,($A45+1)+-1,(G$43+1)+0)+INDEX(Kernels!$B$13:$D$15,1,3)*INDEX(Datos!$B$3:$K$12,($A45+1)+-1,(G$43+1)+1)+INDEX(Kernels!$B$13:$D$15,2,1)*INDEX(Datos!$B$3:$K$12,($A45+1)+0,(G$43+1)+-1)+INDEX(Kernels!$B$13:$D$15,2,2)*INDEX(Datos!$B$3:$K$12,($A45+1)+0,(G$43+1)+0)+INDEX(Kernels!$B$13:$D$15,2,3)*INDEX(Datos!$B$3:$K$12,($A45+1)+0,(G$43+1)+1)+INDEX(Kernels!$B$13:$D$15,3,1)*INDEX(Datos!$B$3:$K$12,($A45+1)+1,(G$43+1)+-1)+INDEX(Kernels!$B$13:$D$15,3,2)*INDEX(Datos!$B$3:$K$12,($A45+1)+1,(G$43+1)+0)+INDEX(Kernels!$B$13:$D$15,3,3)*INDEX(Datos!$B$3:$K$12,($A45+1)+1,(G$43+1)+1)),"")</f>
        <v>69</v>
      </c>
      <c r="H45" s="9">
        <f>IF(AND($A45&gt;=1,$A45&lt;=8,H$43&gt;=1,H$43&lt;=8),ABS(INDEX(Kernels!$B$13:$D$15,1,1)*INDEX(Datos!$B$3:$K$12,($A45+1)+-1,(H$43+1)+-1)+INDEX(Kernels!$B$13:$D$15,1,2)*INDEX(Datos!$B$3:$K$12,($A45+1)+-1,(H$43+1)+0)+INDEX(Kernels!$B$13:$D$15,1,3)*INDEX(Datos!$B$3:$K$12,($A45+1)+-1,(H$43+1)+1)+INDEX(Kernels!$B$13:$D$15,2,1)*INDEX(Datos!$B$3:$K$12,($A45+1)+0,(H$43+1)+-1)+INDEX(Kernels!$B$13:$D$15,2,2)*INDEX(Datos!$B$3:$K$12,($A45+1)+0,(H$43+1)+0)+INDEX(Kernels!$B$13:$D$15,2,3)*INDEX(Datos!$B$3:$K$12,($A45+1)+0,(H$43+1)+1)+INDEX(Kernels!$B$13:$D$15,3,1)*INDEX(Datos!$B$3:$K$12,($A45+1)+1,(H$43+1)+-1)+INDEX(Kernels!$B$13:$D$15,3,2)*INDEX(Datos!$B$3:$K$12,($A45+1)+1,(H$43+1)+0)+INDEX(Kernels!$B$13:$D$15,3,3)*INDEX(Datos!$B$3:$K$12,($A45+1)+1,(H$43+1)+1)),"")</f>
        <v>30</v>
      </c>
      <c r="I45" s="9">
        <f>IF(AND($A45&gt;=1,$A45&lt;=8,I$43&gt;=1,I$43&lt;=8),ABS(INDEX(Kernels!$B$13:$D$15,1,1)*INDEX(Datos!$B$3:$K$12,($A45+1)+-1,(I$43+1)+-1)+INDEX(Kernels!$B$13:$D$15,1,2)*INDEX(Datos!$B$3:$K$12,($A45+1)+-1,(I$43+1)+0)+INDEX(Kernels!$B$13:$D$15,1,3)*INDEX(Datos!$B$3:$K$12,($A45+1)+-1,(I$43+1)+1)+INDEX(Kernels!$B$13:$D$15,2,1)*INDEX(Datos!$B$3:$K$12,($A45+1)+0,(I$43+1)+-1)+INDEX(Kernels!$B$13:$D$15,2,2)*INDEX(Datos!$B$3:$K$12,($A45+1)+0,(I$43+1)+0)+INDEX(Kernels!$B$13:$D$15,2,3)*INDEX(Datos!$B$3:$K$12,($A45+1)+0,(I$43+1)+1)+INDEX(Kernels!$B$13:$D$15,3,1)*INDEX(Datos!$B$3:$K$12,($A45+1)+1,(I$43+1)+-1)+INDEX(Kernels!$B$13:$D$15,3,2)*INDEX(Datos!$B$3:$K$12,($A45+1)+1,(I$43+1)+0)+INDEX(Kernels!$B$13:$D$15,3,3)*INDEX(Datos!$B$3:$K$12,($A45+1)+1,(I$43+1)+1)),"")</f>
        <v>50</v>
      </c>
      <c r="J45" s="9">
        <f>IF(AND($A45&gt;=1,$A45&lt;=8,J$43&gt;=1,J$43&lt;=8),ABS(INDEX(Kernels!$B$13:$D$15,1,1)*INDEX(Datos!$B$3:$K$12,($A45+1)+-1,(J$43+1)+-1)+INDEX(Kernels!$B$13:$D$15,1,2)*INDEX(Datos!$B$3:$K$12,($A45+1)+-1,(J$43+1)+0)+INDEX(Kernels!$B$13:$D$15,1,3)*INDEX(Datos!$B$3:$K$12,($A45+1)+-1,(J$43+1)+1)+INDEX(Kernels!$B$13:$D$15,2,1)*INDEX(Datos!$B$3:$K$12,($A45+1)+0,(J$43+1)+-1)+INDEX(Kernels!$B$13:$D$15,2,2)*INDEX(Datos!$B$3:$K$12,($A45+1)+0,(J$43+1)+0)+INDEX(Kernels!$B$13:$D$15,2,3)*INDEX(Datos!$B$3:$K$12,($A45+1)+0,(J$43+1)+1)+INDEX(Kernels!$B$13:$D$15,3,1)*INDEX(Datos!$B$3:$K$12,($A45+1)+1,(J$43+1)+-1)+INDEX(Kernels!$B$13:$D$15,3,2)*INDEX(Datos!$B$3:$K$12,($A45+1)+1,(J$43+1)+0)+INDEX(Kernels!$B$13:$D$15,3,3)*INDEX(Datos!$B$3:$K$12,($A45+1)+1,(J$43+1)+1)),"")</f>
        <v>106</v>
      </c>
      <c r="K45" s="9" t="str">
        <f>IF(AND($A45&gt;=1,$A45&lt;=8,K$43&gt;=1,K$43&lt;=8),ABS(INDEX(Kernels!$B$13:$D$15,1,1)*INDEX(Datos!$B$3:$K$12,($A45+1)+-1,(K$43+1)+-1)+INDEX(Kernels!$B$13:$D$15,1,2)*INDEX(Datos!$B$3:$K$12,($A45+1)+-1,(K$43+1)+0)+INDEX(Kernels!$B$13:$D$15,1,3)*INDEX(Datos!$B$3:$K$12,($A45+1)+-1,(K$43+1)+1)+INDEX(Kernels!$B$13:$D$15,2,1)*INDEX(Datos!$B$3:$K$12,($A45+1)+0,(K$43+1)+-1)+INDEX(Kernels!$B$13:$D$15,2,2)*INDEX(Datos!$B$3:$K$12,($A45+1)+0,(K$43+1)+0)+INDEX(Kernels!$B$13:$D$15,2,3)*INDEX(Datos!$B$3:$K$12,($A45+1)+0,(K$43+1)+1)+INDEX(Kernels!$B$13:$D$15,3,1)*INDEX(Datos!$B$3:$K$12,($A45+1)+1,(K$43+1)+-1)+INDEX(Kernels!$B$13:$D$15,3,2)*INDEX(Datos!$B$3:$K$12,($A45+1)+1,(K$43+1)+0)+INDEX(Kernels!$B$13:$D$15,3,3)*INDEX(Datos!$B$3:$K$12,($A45+1)+1,(K$43+1)+1)),"")</f>
        <v/>
      </c>
    </row>
    <row r="46" spans="1:11" ht="24" customHeight="1" x14ac:dyDescent="0.2">
      <c r="A46" s="10">
        <v>2</v>
      </c>
      <c r="B46" s="9" t="str">
        <f>IF(AND($A46&gt;=1,$A46&lt;=8,B$43&gt;=1,B$43&lt;=8),ABS(INDEX(Kernels!$B$13:$D$15,1,1)*INDEX(Datos!$B$3:$K$12,($A46+1)+-1,(B$43+1)+-1)+INDEX(Kernels!$B$13:$D$15,1,2)*INDEX(Datos!$B$3:$K$12,($A46+1)+-1,(B$43+1)+0)+INDEX(Kernels!$B$13:$D$15,1,3)*INDEX(Datos!$B$3:$K$12,($A46+1)+-1,(B$43+1)+1)+INDEX(Kernels!$B$13:$D$15,2,1)*INDEX(Datos!$B$3:$K$12,($A46+1)+0,(B$43+1)+-1)+INDEX(Kernels!$B$13:$D$15,2,2)*INDEX(Datos!$B$3:$K$12,($A46+1)+0,(B$43+1)+0)+INDEX(Kernels!$B$13:$D$15,2,3)*INDEX(Datos!$B$3:$K$12,($A46+1)+0,(B$43+1)+1)+INDEX(Kernels!$B$13:$D$15,3,1)*INDEX(Datos!$B$3:$K$12,($A46+1)+1,(B$43+1)+-1)+INDEX(Kernels!$B$13:$D$15,3,2)*INDEX(Datos!$B$3:$K$12,($A46+1)+1,(B$43+1)+0)+INDEX(Kernels!$B$13:$D$15,3,3)*INDEX(Datos!$B$3:$K$12,($A46+1)+1,(B$43+1)+1)),"")</f>
        <v/>
      </c>
      <c r="C46" s="9">
        <f>IF(AND($A46&gt;=1,$A46&lt;=8,C$43&gt;=1,C$43&lt;=8),ABS(INDEX(Kernels!$B$13:$D$15,1,1)*INDEX(Datos!$B$3:$K$12,($A46+1)+-1,(C$43+1)+-1)+INDEX(Kernels!$B$13:$D$15,1,2)*INDEX(Datos!$B$3:$K$12,($A46+1)+-1,(C$43+1)+0)+INDEX(Kernels!$B$13:$D$15,1,3)*INDEX(Datos!$B$3:$K$12,($A46+1)+-1,(C$43+1)+1)+INDEX(Kernels!$B$13:$D$15,2,1)*INDEX(Datos!$B$3:$K$12,($A46+1)+0,(C$43+1)+-1)+INDEX(Kernels!$B$13:$D$15,2,2)*INDEX(Datos!$B$3:$K$12,($A46+1)+0,(C$43+1)+0)+INDEX(Kernels!$B$13:$D$15,2,3)*INDEX(Datos!$B$3:$K$12,($A46+1)+0,(C$43+1)+1)+INDEX(Kernels!$B$13:$D$15,3,1)*INDEX(Datos!$B$3:$K$12,($A46+1)+1,(C$43+1)+-1)+INDEX(Kernels!$B$13:$D$15,3,2)*INDEX(Datos!$B$3:$K$12,($A46+1)+1,(C$43+1)+0)+INDEX(Kernels!$B$13:$D$15,3,3)*INDEX(Datos!$B$3:$K$12,($A46+1)+1,(C$43+1)+1)),"")</f>
        <v>34</v>
      </c>
      <c r="D46" s="9">
        <f>IF(AND($A46&gt;=1,$A46&lt;=8,D$43&gt;=1,D$43&lt;=8),ABS(INDEX(Kernels!$B$13:$D$15,1,1)*INDEX(Datos!$B$3:$K$12,($A46+1)+-1,(D$43+1)+-1)+INDEX(Kernels!$B$13:$D$15,1,2)*INDEX(Datos!$B$3:$K$12,($A46+1)+-1,(D$43+1)+0)+INDEX(Kernels!$B$13:$D$15,1,3)*INDEX(Datos!$B$3:$K$12,($A46+1)+-1,(D$43+1)+1)+INDEX(Kernels!$B$13:$D$15,2,1)*INDEX(Datos!$B$3:$K$12,($A46+1)+0,(D$43+1)+-1)+INDEX(Kernels!$B$13:$D$15,2,2)*INDEX(Datos!$B$3:$K$12,($A46+1)+0,(D$43+1)+0)+INDEX(Kernels!$B$13:$D$15,2,3)*INDEX(Datos!$B$3:$K$12,($A46+1)+0,(D$43+1)+1)+INDEX(Kernels!$B$13:$D$15,3,1)*INDEX(Datos!$B$3:$K$12,($A46+1)+1,(D$43+1)+-1)+INDEX(Kernels!$B$13:$D$15,3,2)*INDEX(Datos!$B$3:$K$12,($A46+1)+1,(D$43+1)+0)+INDEX(Kernels!$B$13:$D$15,3,3)*INDEX(Datos!$B$3:$K$12,($A46+1)+1,(D$43+1)+1)),"")</f>
        <v>56</v>
      </c>
      <c r="E46" s="9">
        <f>IF(AND($A46&gt;=1,$A46&lt;=8,E$43&gt;=1,E$43&lt;=8),ABS(INDEX(Kernels!$B$13:$D$15,1,1)*INDEX(Datos!$B$3:$K$12,($A46+1)+-1,(E$43+1)+-1)+INDEX(Kernels!$B$13:$D$15,1,2)*INDEX(Datos!$B$3:$K$12,($A46+1)+-1,(E$43+1)+0)+INDEX(Kernels!$B$13:$D$15,1,3)*INDEX(Datos!$B$3:$K$12,($A46+1)+-1,(E$43+1)+1)+INDEX(Kernels!$B$13:$D$15,2,1)*INDEX(Datos!$B$3:$K$12,($A46+1)+0,(E$43+1)+-1)+INDEX(Kernels!$B$13:$D$15,2,2)*INDEX(Datos!$B$3:$K$12,($A46+1)+0,(E$43+1)+0)+INDEX(Kernels!$B$13:$D$15,2,3)*INDEX(Datos!$B$3:$K$12,($A46+1)+0,(E$43+1)+1)+INDEX(Kernels!$B$13:$D$15,3,1)*INDEX(Datos!$B$3:$K$12,($A46+1)+1,(E$43+1)+-1)+INDEX(Kernels!$B$13:$D$15,3,2)*INDEX(Datos!$B$3:$K$12,($A46+1)+1,(E$43+1)+0)+INDEX(Kernels!$B$13:$D$15,3,3)*INDEX(Datos!$B$3:$K$12,($A46+1)+1,(E$43+1)+1)),"")</f>
        <v>122</v>
      </c>
      <c r="F46" s="9">
        <f>IF(AND($A46&gt;=1,$A46&lt;=8,F$43&gt;=1,F$43&lt;=8),ABS(INDEX(Kernels!$B$13:$D$15,1,1)*INDEX(Datos!$B$3:$K$12,($A46+1)+-1,(F$43+1)+-1)+INDEX(Kernels!$B$13:$D$15,1,2)*INDEX(Datos!$B$3:$K$12,($A46+1)+-1,(F$43+1)+0)+INDEX(Kernels!$B$13:$D$15,1,3)*INDEX(Datos!$B$3:$K$12,($A46+1)+-1,(F$43+1)+1)+INDEX(Kernels!$B$13:$D$15,2,1)*INDEX(Datos!$B$3:$K$12,($A46+1)+0,(F$43+1)+-1)+INDEX(Kernels!$B$13:$D$15,2,2)*INDEX(Datos!$B$3:$K$12,($A46+1)+0,(F$43+1)+0)+INDEX(Kernels!$B$13:$D$15,2,3)*INDEX(Datos!$B$3:$K$12,($A46+1)+0,(F$43+1)+1)+INDEX(Kernels!$B$13:$D$15,3,1)*INDEX(Datos!$B$3:$K$12,($A46+1)+1,(F$43+1)+-1)+INDEX(Kernels!$B$13:$D$15,3,2)*INDEX(Datos!$B$3:$K$12,($A46+1)+1,(F$43+1)+0)+INDEX(Kernels!$B$13:$D$15,3,3)*INDEX(Datos!$B$3:$K$12,($A46+1)+1,(F$43+1)+1)),"")</f>
        <v>118</v>
      </c>
      <c r="G46" s="9">
        <f>IF(AND($A46&gt;=1,$A46&lt;=8,G$43&gt;=1,G$43&lt;=8),ABS(INDEX(Kernels!$B$13:$D$15,1,1)*INDEX(Datos!$B$3:$K$12,($A46+1)+-1,(G$43+1)+-1)+INDEX(Kernels!$B$13:$D$15,1,2)*INDEX(Datos!$B$3:$K$12,($A46+1)+-1,(G$43+1)+0)+INDEX(Kernels!$B$13:$D$15,1,3)*INDEX(Datos!$B$3:$K$12,($A46+1)+-1,(G$43+1)+1)+INDEX(Kernels!$B$13:$D$15,2,1)*INDEX(Datos!$B$3:$K$12,($A46+1)+0,(G$43+1)+-1)+INDEX(Kernels!$B$13:$D$15,2,2)*INDEX(Datos!$B$3:$K$12,($A46+1)+0,(G$43+1)+0)+INDEX(Kernels!$B$13:$D$15,2,3)*INDEX(Datos!$B$3:$K$12,($A46+1)+0,(G$43+1)+1)+INDEX(Kernels!$B$13:$D$15,3,1)*INDEX(Datos!$B$3:$K$12,($A46+1)+1,(G$43+1)+-1)+INDEX(Kernels!$B$13:$D$15,3,2)*INDEX(Datos!$B$3:$K$12,($A46+1)+1,(G$43+1)+0)+INDEX(Kernels!$B$13:$D$15,3,3)*INDEX(Datos!$B$3:$K$12,($A46+1)+1,(G$43+1)+1)),"")</f>
        <v>64</v>
      </c>
      <c r="H46" s="9">
        <f>IF(AND($A46&gt;=1,$A46&lt;=8,H$43&gt;=1,H$43&lt;=8),ABS(INDEX(Kernels!$B$13:$D$15,1,1)*INDEX(Datos!$B$3:$K$12,($A46+1)+-1,(H$43+1)+-1)+INDEX(Kernels!$B$13:$D$15,1,2)*INDEX(Datos!$B$3:$K$12,($A46+1)+-1,(H$43+1)+0)+INDEX(Kernels!$B$13:$D$15,1,3)*INDEX(Datos!$B$3:$K$12,($A46+1)+-1,(H$43+1)+1)+INDEX(Kernels!$B$13:$D$15,2,1)*INDEX(Datos!$B$3:$K$12,($A46+1)+0,(H$43+1)+-1)+INDEX(Kernels!$B$13:$D$15,2,2)*INDEX(Datos!$B$3:$K$12,($A46+1)+0,(H$43+1)+0)+INDEX(Kernels!$B$13:$D$15,2,3)*INDEX(Datos!$B$3:$K$12,($A46+1)+0,(H$43+1)+1)+INDEX(Kernels!$B$13:$D$15,3,1)*INDEX(Datos!$B$3:$K$12,($A46+1)+1,(H$43+1)+-1)+INDEX(Kernels!$B$13:$D$15,3,2)*INDEX(Datos!$B$3:$K$12,($A46+1)+1,(H$43+1)+0)+INDEX(Kernels!$B$13:$D$15,3,3)*INDEX(Datos!$B$3:$K$12,($A46+1)+1,(H$43+1)+1)),"")</f>
        <v>171</v>
      </c>
      <c r="I46" s="9">
        <f>IF(AND($A46&gt;=1,$A46&lt;=8,I$43&gt;=1,I$43&lt;=8),ABS(INDEX(Kernels!$B$13:$D$15,1,1)*INDEX(Datos!$B$3:$K$12,($A46+1)+-1,(I$43+1)+-1)+INDEX(Kernels!$B$13:$D$15,1,2)*INDEX(Datos!$B$3:$K$12,($A46+1)+-1,(I$43+1)+0)+INDEX(Kernels!$B$13:$D$15,1,3)*INDEX(Datos!$B$3:$K$12,($A46+1)+-1,(I$43+1)+1)+INDEX(Kernels!$B$13:$D$15,2,1)*INDEX(Datos!$B$3:$K$12,($A46+1)+0,(I$43+1)+-1)+INDEX(Kernels!$B$13:$D$15,2,2)*INDEX(Datos!$B$3:$K$12,($A46+1)+0,(I$43+1)+0)+INDEX(Kernels!$B$13:$D$15,2,3)*INDEX(Datos!$B$3:$K$12,($A46+1)+0,(I$43+1)+1)+INDEX(Kernels!$B$13:$D$15,3,1)*INDEX(Datos!$B$3:$K$12,($A46+1)+1,(I$43+1)+-1)+INDEX(Kernels!$B$13:$D$15,3,2)*INDEX(Datos!$B$3:$K$12,($A46+1)+1,(I$43+1)+0)+INDEX(Kernels!$B$13:$D$15,3,3)*INDEX(Datos!$B$3:$K$12,($A46+1)+1,(I$43+1)+1)),"")</f>
        <v>18</v>
      </c>
      <c r="J46" s="9">
        <f>IF(AND($A46&gt;=1,$A46&lt;=8,J$43&gt;=1,J$43&lt;=8),ABS(INDEX(Kernels!$B$13:$D$15,1,1)*INDEX(Datos!$B$3:$K$12,($A46+1)+-1,(J$43+1)+-1)+INDEX(Kernels!$B$13:$D$15,1,2)*INDEX(Datos!$B$3:$K$12,($A46+1)+-1,(J$43+1)+0)+INDEX(Kernels!$B$13:$D$15,1,3)*INDEX(Datos!$B$3:$K$12,($A46+1)+-1,(J$43+1)+1)+INDEX(Kernels!$B$13:$D$15,2,1)*INDEX(Datos!$B$3:$K$12,($A46+1)+0,(J$43+1)+-1)+INDEX(Kernels!$B$13:$D$15,2,2)*INDEX(Datos!$B$3:$K$12,($A46+1)+0,(J$43+1)+0)+INDEX(Kernels!$B$13:$D$15,2,3)*INDEX(Datos!$B$3:$K$12,($A46+1)+0,(J$43+1)+1)+INDEX(Kernels!$B$13:$D$15,3,1)*INDEX(Datos!$B$3:$K$12,($A46+1)+1,(J$43+1)+-1)+INDEX(Kernels!$B$13:$D$15,3,2)*INDEX(Datos!$B$3:$K$12,($A46+1)+1,(J$43+1)+0)+INDEX(Kernels!$B$13:$D$15,3,3)*INDEX(Datos!$B$3:$K$12,($A46+1)+1,(J$43+1)+1)),"")</f>
        <v>93</v>
      </c>
      <c r="K46" s="9" t="str">
        <f>IF(AND($A46&gt;=1,$A46&lt;=8,K$43&gt;=1,K$43&lt;=8),ABS(INDEX(Kernels!$B$13:$D$15,1,1)*INDEX(Datos!$B$3:$K$12,($A46+1)+-1,(K$43+1)+-1)+INDEX(Kernels!$B$13:$D$15,1,2)*INDEX(Datos!$B$3:$K$12,($A46+1)+-1,(K$43+1)+0)+INDEX(Kernels!$B$13:$D$15,1,3)*INDEX(Datos!$B$3:$K$12,($A46+1)+-1,(K$43+1)+1)+INDEX(Kernels!$B$13:$D$15,2,1)*INDEX(Datos!$B$3:$K$12,($A46+1)+0,(K$43+1)+-1)+INDEX(Kernels!$B$13:$D$15,2,2)*INDEX(Datos!$B$3:$K$12,($A46+1)+0,(K$43+1)+0)+INDEX(Kernels!$B$13:$D$15,2,3)*INDEX(Datos!$B$3:$K$12,($A46+1)+0,(K$43+1)+1)+INDEX(Kernels!$B$13:$D$15,3,1)*INDEX(Datos!$B$3:$K$12,($A46+1)+1,(K$43+1)+-1)+INDEX(Kernels!$B$13:$D$15,3,2)*INDEX(Datos!$B$3:$K$12,($A46+1)+1,(K$43+1)+0)+INDEX(Kernels!$B$13:$D$15,3,3)*INDEX(Datos!$B$3:$K$12,($A46+1)+1,(K$43+1)+1)),"")</f>
        <v/>
      </c>
    </row>
    <row r="47" spans="1:11" ht="24" customHeight="1" x14ac:dyDescent="0.2">
      <c r="A47" s="10">
        <v>3</v>
      </c>
      <c r="B47" s="9" t="str">
        <f>IF(AND($A47&gt;=1,$A47&lt;=8,B$43&gt;=1,B$43&lt;=8),ABS(INDEX(Kernels!$B$13:$D$15,1,1)*INDEX(Datos!$B$3:$K$12,($A47+1)+-1,(B$43+1)+-1)+INDEX(Kernels!$B$13:$D$15,1,2)*INDEX(Datos!$B$3:$K$12,($A47+1)+-1,(B$43+1)+0)+INDEX(Kernels!$B$13:$D$15,1,3)*INDEX(Datos!$B$3:$K$12,($A47+1)+-1,(B$43+1)+1)+INDEX(Kernels!$B$13:$D$15,2,1)*INDEX(Datos!$B$3:$K$12,($A47+1)+0,(B$43+1)+-1)+INDEX(Kernels!$B$13:$D$15,2,2)*INDEX(Datos!$B$3:$K$12,($A47+1)+0,(B$43+1)+0)+INDEX(Kernels!$B$13:$D$15,2,3)*INDEX(Datos!$B$3:$K$12,($A47+1)+0,(B$43+1)+1)+INDEX(Kernels!$B$13:$D$15,3,1)*INDEX(Datos!$B$3:$K$12,($A47+1)+1,(B$43+1)+-1)+INDEX(Kernels!$B$13:$D$15,3,2)*INDEX(Datos!$B$3:$K$12,($A47+1)+1,(B$43+1)+0)+INDEX(Kernels!$B$13:$D$15,3,3)*INDEX(Datos!$B$3:$K$12,($A47+1)+1,(B$43+1)+1)),"")</f>
        <v/>
      </c>
      <c r="C47" s="9">
        <f>IF(AND($A47&gt;=1,$A47&lt;=8,C$43&gt;=1,C$43&lt;=8),ABS(INDEX(Kernels!$B$13:$D$15,1,1)*INDEX(Datos!$B$3:$K$12,($A47+1)+-1,(C$43+1)+-1)+INDEX(Kernels!$B$13:$D$15,1,2)*INDEX(Datos!$B$3:$K$12,($A47+1)+-1,(C$43+1)+0)+INDEX(Kernels!$B$13:$D$15,1,3)*INDEX(Datos!$B$3:$K$12,($A47+1)+-1,(C$43+1)+1)+INDEX(Kernels!$B$13:$D$15,2,1)*INDEX(Datos!$B$3:$K$12,($A47+1)+0,(C$43+1)+-1)+INDEX(Kernels!$B$13:$D$15,2,2)*INDEX(Datos!$B$3:$K$12,($A47+1)+0,(C$43+1)+0)+INDEX(Kernels!$B$13:$D$15,2,3)*INDEX(Datos!$B$3:$K$12,($A47+1)+0,(C$43+1)+1)+INDEX(Kernels!$B$13:$D$15,3,1)*INDEX(Datos!$B$3:$K$12,($A47+1)+1,(C$43+1)+-1)+INDEX(Kernels!$B$13:$D$15,3,2)*INDEX(Datos!$B$3:$K$12,($A47+1)+1,(C$43+1)+0)+INDEX(Kernels!$B$13:$D$15,3,3)*INDEX(Datos!$B$3:$K$12,($A47+1)+1,(C$43+1)+1)),"")</f>
        <v>17</v>
      </c>
      <c r="D47" s="9">
        <f>IF(AND($A47&gt;=1,$A47&lt;=8,D$43&gt;=1,D$43&lt;=8),ABS(INDEX(Kernels!$B$13:$D$15,1,1)*INDEX(Datos!$B$3:$K$12,($A47+1)+-1,(D$43+1)+-1)+INDEX(Kernels!$B$13:$D$15,1,2)*INDEX(Datos!$B$3:$K$12,($A47+1)+-1,(D$43+1)+0)+INDEX(Kernels!$B$13:$D$15,1,3)*INDEX(Datos!$B$3:$K$12,($A47+1)+-1,(D$43+1)+1)+INDEX(Kernels!$B$13:$D$15,2,1)*INDEX(Datos!$B$3:$K$12,($A47+1)+0,(D$43+1)+-1)+INDEX(Kernels!$B$13:$D$15,2,2)*INDEX(Datos!$B$3:$K$12,($A47+1)+0,(D$43+1)+0)+INDEX(Kernels!$B$13:$D$15,2,3)*INDEX(Datos!$B$3:$K$12,($A47+1)+0,(D$43+1)+1)+INDEX(Kernels!$B$13:$D$15,3,1)*INDEX(Datos!$B$3:$K$12,($A47+1)+1,(D$43+1)+-1)+INDEX(Kernels!$B$13:$D$15,3,2)*INDEX(Datos!$B$3:$K$12,($A47+1)+1,(D$43+1)+0)+INDEX(Kernels!$B$13:$D$15,3,3)*INDEX(Datos!$B$3:$K$12,($A47+1)+1,(D$43+1)+1)),"")</f>
        <v>129</v>
      </c>
      <c r="E47" s="9">
        <f>IF(AND($A47&gt;=1,$A47&lt;=8,E$43&gt;=1,E$43&lt;=8),ABS(INDEX(Kernels!$B$13:$D$15,1,1)*INDEX(Datos!$B$3:$K$12,($A47+1)+-1,(E$43+1)+-1)+INDEX(Kernels!$B$13:$D$15,1,2)*INDEX(Datos!$B$3:$K$12,($A47+1)+-1,(E$43+1)+0)+INDEX(Kernels!$B$13:$D$15,1,3)*INDEX(Datos!$B$3:$K$12,($A47+1)+-1,(E$43+1)+1)+INDEX(Kernels!$B$13:$D$15,2,1)*INDEX(Datos!$B$3:$K$12,($A47+1)+0,(E$43+1)+-1)+INDEX(Kernels!$B$13:$D$15,2,2)*INDEX(Datos!$B$3:$K$12,($A47+1)+0,(E$43+1)+0)+INDEX(Kernels!$B$13:$D$15,2,3)*INDEX(Datos!$B$3:$K$12,($A47+1)+0,(E$43+1)+1)+INDEX(Kernels!$B$13:$D$15,3,1)*INDEX(Datos!$B$3:$K$12,($A47+1)+1,(E$43+1)+-1)+INDEX(Kernels!$B$13:$D$15,3,2)*INDEX(Datos!$B$3:$K$12,($A47+1)+1,(E$43+1)+0)+INDEX(Kernels!$B$13:$D$15,3,3)*INDEX(Datos!$B$3:$K$12,($A47+1)+1,(E$43+1)+1)),"")</f>
        <v>118</v>
      </c>
      <c r="F47" s="9">
        <f>IF(AND($A47&gt;=1,$A47&lt;=8,F$43&gt;=1,F$43&lt;=8),ABS(INDEX(Kernels!$B$13:$D$15,1,1)*INDEX(Datos!$B$3:$K$12,($A47+1)+-1,(F$43+1)+-1)+INDEX(Kernels!$B$13:$D$15,1,2)*INDEX(Datos!$B$3:$K$12,($A47+1)+-1,(F$43+1)+0)+INDEX(Kernels!$B$13:$D$15,1,3)*INDEX(Datos!$B$3:$K$12,($A47+1)+-1,(F$43+1)+1)+INDEX(Kernels!$B$13:$D$15,2,1)*INDEX(Datos!$B$3:$K$12,($A47+1)+0,(F$43+1)+-1)+INDEX(Kernels!$B$13:$D$15,2,2)*INDEX(Datos!$B$3:$K$12,($A47+1)+0,(F$43+1)+0)+INDEX(Kernels!$B$13:$D$15,2,3)*INDEX(Datos!$B$3:$K$12,($A47+1)+0,(F$43+1)+1)+INDEX(Kernels!$B$13:$D$15,3,1)*INDEX(Datos!$B$3:$K$12,($A47+1)+1,(F$43+1)+-1)+INDEX(Kernels!$B$13:$D$15,3,2)*INDEX(Datos!$B$3:$K$12,($A47+1)+1,(F$43+1)+0)+INDEX(Kernels!$B$13:$D$15,3,3)*INDEX(Datos!$B$3:$K$12,($A47+1)+1,(F$43+1)+1)),"")</f>
        <v>89</v>
      </c>
      <c r="G47" s="9">
        <f>IF(AND($A47&gt;=1,$A47&lt;=8,G$43&gt;=1,G$43&lt;=8),ABS(INDEX(Kernels!$B$13:$D$15,1,1)*INDEX(Datos!$B$3:$K$12,($A47+1)+-1,(G$43+1)+-1)+INDEX(Kernels!$B$13:$D$15,1,2)*INDEX(Datos!$B$3:$K$12,($A47+1)+-1,(G$43+1)+0)+INDEX(Kernels!$B$13:$D$15,1,3)*INDEX(Datos!$B$3:$K$12,($A47+1)+-1,(G$43+1)+1)+INDEX(Kernels!$B$13:$D$15,2,1)*INDEX(Datos!$B$3:$K$12,($A47+1)+0,(G$43+1)+-1)+INDEX(Kernels!$B$13:$D$15,2,2)*INDEX(Datos!$B$3:$K$12,($A47+1)+0,(G$43+1)+0)+INDEX(Kernels!$B$13:$D$15,2,3)*INDEX(Datos!$B$3:$K$12,($A47+1)+0,(G$43+1)+1)+INDEX(Kernels!$B$13:$D$15,3,1)*INDEX(Datos!$B$3:$K$12,($A47+1)+1,(G$43+1)+-1)+INDEX(Kernels!$B$13:$D$15,3,2)*INDEX(Datos!$B$3:$K$12,($A47+1)+1,(G$43+1)+0)+INDEX(Kernels!$B$13:$D$15,3,3)*INDEX(Datos!$B$3:$K$12,($A47+1)+1,(G$43+1)+1)),"")</f>
        <v>146</v>
      </c>
      <c r="H47" s="9">
        <f>IF(AND($A47&gt;=1,$A47&lt;=8,H$43&gt;=1,H$43&lt;=8),ABS(INDEX(Kernels!$B$13:$D$15,1,1)*INDEX(Datos!$B$3:$K$12,($A47+1)+-1,(H$43+1)+-1)+INDEX(Kernels!$B$13:$D$15,1,2)*INDEX(Datos!$B$3:$K$12,($A47+1)+-1,(H$43+1)+0)+INDEX(Kernels!$B$13:$D$15,1,3)*INDEX(Datos!$B$3:$K$12,($A47+1)+-1,(H$43+1)+1)+INDEX(Kernels!$B$13:$D$15,2,1)*INDEX(Datos!$B$3:$K$12,($A47+1)+0,(H$43+1)+-1)+INDEX(Kernels!$B$13:$D$15,2,2)*INDEX(Datos!$B$3:$K$12,($A47+1)+0,(H$43+1)+0)+INDEX(Kernels!$B$13:$D$15,2,3)*INDEX(Datos!$B$3:$K$12,($A47+1)+0,(H$43+1)+1)+INDEX(Kernels!$B$13:$D$15,3,1)*INDEX(Datos!$B$3:$K$12,($A47+1)+1,(H$43+1)+-1)+INDEX(Kernels!$B$13:$D$15,3,2)*INDEX(Datos!$B$3:$K$12,($A47+1)+1,(H$43+1)+0)+INDEX(Kernels!$B$13:$D$15,3,3)*INDEX(Datos!$B$3:$K$12,($A47+1)+1,(H$43+1)+1)),"")</f>
        <v>210</v>
      </c>
      <c r="I47" s="9">
        <f>IF(AND($A47&gt;=1,$A47&lt;=8,I$43&gt;=1,I$43&lt;=8),ABS(INDEX(Kernels!$B$13:$D$15,1,1)*INDEX(Datos!$B$3:$K$12,($A47+1)+-1,(I$43+1)+-1)+INDEX(Kernels!$B$13:$D$15,1,2)*INDEX(Datos!$B$3:$K$12,($A47+1)+-1,(I$43+1)+0)+INDEX(Kernels!$B$13:$D$15,1,3)*INDEX(Datos!$B$3:$K$12,($A47+1)+-1,(I$43+1)+1)+INDEX(Kernels!$B$13:$D$15,2,1)*INDEX(Datos!$B$3:$K$12,($A47+1)+0,(I$43+1)+-1)+INDEX(Kernels!$B$13:$D$15,2,2)*INDEX(Datos!$B$3:$K$12,($A47+1)+0,(I$43+1)+0)+INDEX(Kernels!$B$13:$D$15,2,3)*INDEX(Datos!$B$3:$K$12,($A47+1)+0,(I$43+1)+1)+INDEX(Kernels!$B$13:$D$15,3,1)*INDEX(Datos!$B$3:$K$12,($A47+1)+1,(I$43+1)+-1)+INDEX(Kernels!$B$13:$D$15,3,2)*INDEX(Datos!$B$3:$K$12,($A47+1)+1,(I$43+1)+0)+INDEX(Kernels!$B$13:$D$15,3,3)*INDEX(Datos!$B$3:$K$12,($A47+1)+1,(I$43+1)+1)),"")</f>
        <v>74</v>
      </c>
      <c r="J47" s="9">
        <f>IF(AND($A47&gt;=1,$A47&lt;=8,J$43&gt;=1,J$43&lt;=8),ABS(INDEX(Kernels!$B$13:$D$15,1,1)*INDEX(Datos!$B$3:$K$12,($A47+1)+-1,(J$43+1)+-1)+INDEX(Kernels!$B$13:$D$15,1,2)*INDEX(Datos!$B$3:$K$12,($A47+1)+-1,(J$43+1)+0)+INDEX(Kernels!$B$13:$D$15,1,3)*INDEX(Datos!$B$3:$K$12,($A47+1)+-1,(J$43+1)+1)+INDEX(Kernels!$B$13:$D$15,2,1)*INDEX(Datos!$B$3:$K$12,($A47+1)+0,(J$43+1)+-1)+INDEX(Kernels!$B$13:$D$15,2,2)*INDEX(Datos!$B$3:$K$12,($A47+1)+0,(J$43+1)+0)+INDEX(Kernels!$B$13:$D$15,2,3)*INDEX(Datos!$B$3:$K$12,($A47+1)+0,(J$43+1)+1)+INDEX(Kernels!$B$13:$D$15,3,1)*INDEX(Datos!$B$3:$K$12,($A47+1)+1,(J$43+1)+-1)+INDEX(Kernels!$B$13:$D$15,3,2)*INDEX(Datos!$B$3:$K$12,($A47+1)+1,(J$43+1)+0)+INDEX(Kernels!$B$13:$D$15,3,3)*INDEX(Datos!$B$3:$K$12,($A47+1)+1,(J$43+1)+1)),"")</f>
        <v>37</v>
      </c>
      <c r="K47" s="9" t="str">
        <f>IF(AND($A47&gt;=1,$A47&lt;=8,K$43&gt;=1,K$43&lt;=8),ABS(INDEX(Kernels!$B$13:$D$15,1,1)*INDEX(Datos!$B$3:$K$12,($A47+1)+-1,(K$43+1)+-1)+INDEX(Kernels!$B$13:$D$15,1,2)*INDEX(Datos!$B$3:$K$12,($A47+1)+-1,(K$43+1)+0)+INDEX(Kernels!$B$13:$D$15,1,3)*INDEX(Datos!$B$3:$K$12,($A47+1)+-1,(K$43+1)+1)+INDEX(Kernels!$B$13:$D$15,2,1)*INDEX(Datos!$B$3:$K$12,($A47+1)+0,(K$43+1)+-1)+INDEX(Kernels!$B$13:$D$15,2,2)*INDEX(Datos!$B$3:$K$12,($A47+1)+0,(K$43+1)+0)+INDEX(Kernels!$B$13:$D$15,2,3)*INDEX(Datos!$B$3:$K$12,($A47+1)+0,(K$43+1)+1)+INDEX(Kernels!$B$13:$D$15,3,1)*INDEX(Datos!$B$3:$K$12,($A47+1)+1,(K$43+1)+-1)+INDEX(Kernels!$B$13:$D$15,3,2)*INDEX(Datos!$B$3:$K$12,($A47+1)+1,(K$43+1)+0)+INDEX(Kernels!$B$13:$D$15,3,3)*INDEX(Datos!$B$3:$K$12,($A47+1)+1,(K$43+1)+1)),"")</f>
        <v/>
      </c>
    </row>
    <row r="48" spans="1:11" ht="24" customHeight="1" x14ac:dyDescent="0.2">
      <c r="A48" s="10">
        <v>4</v>
      </c>
      <c r="B48" s="9" t="str">
        <f>IF(AND($A48&gt;=1,$A48&lt;=8,B$43&gt;=1,B$43&lt;=8),ABS(INDEX(Kernels!$B$13:$D$15,1,1)*INDEX(Datos!$B$3:$K$12,($A48+1)+-1,(B$43+1)+-1)+INDEX(Kernels!$B$13:$D$15,1,2)*INDEX(Datos!$B$3:$K$12,($A48+1)+-1,(B$43+1)+0)+INDEX(Kernels!$B$13:$D$15,1,3)*INDEX(Datos!$B$3:$K$12,($A48+1)+-1,(B$43+1)+1)+INDEX(Kernels!$B$13:$D$15,2,1)*INDEX(Datos!$B$3:$K$12,($A48+1)+0,(B$43+1)+-1)+INDEX(Kernels!$B$13:$D$15,2,2)*INDEX(Datos!$B$3:$K$12,($A48+1)+0,(B$43+1)+0)+INDEX(Kernels!$B$13:$D$15,2,3)*INDEX(Datos!$B$3:$K$12,($A48+1)+0,(B$43+1)+1)+INDEX(Kernels!$B$13:$D$15,3,1)*INDEX(Datos!$B$3:$K$12,($A48+1)+1,(B$43+1)+-1)+INDEX(Kernels!$B$13:$D$15,3,2)*INDEX(Datos!$B$3:$K$12,($A48+1)+1,(B$43+1)+0)+INDEX(Kernels!$B$13:$D$15,3,3)*INDEX(Datos!$B$3:$K$12,($A48+1)+1,(B$43+1)+1)),"")</f>
        <v/>
      </c>
      <c r="C48" s="9">
        <f>IF(AND($A48&gt;=1,$A48&lt;=8,C$43&gt;=1,C$43&lt;=8),ABS(INDEX(Kernels!$B$13:$D$15,1,1)*INDEX(Datos!$B$3:$K$12,($A48+1)+-1,(C$43+1)+-1)+INDEX(Kernels!$B$13:$D$15,1,2)*INDEX(Datos!$B$3:$K$12,($A48+1)+-1,(C$43+1)+0)+INDEX(Kernels!$B$13:$D$15,1,3)*INDEX(Datos!$B$3:$K$12,($A48+1)+-1,(C$43+1)+1)+INDEX(Kernels!$B$13:$D$15,2,1)*INDEX(Datos!$B$3:$K$12,($A48+1)+0,(C$43+1)+-1)+INDEX(Kernels!$B$13:$D$15,2,2)*INDEX(Datos!$B$3:$K$12,($A48+1)+0,(C$43+1)+0)+INDEX(Kernels!$B$13:$D$15,2,3)*INDEX(Datos!$B$3:$K$12,($A48+1)+0,(C$43+1)+1)+INDEX(Kernels!$B$13:$D$15,3,1)*INDEX(Datos!$B$3:$K$12,($A48+1)+1,(C$43+1)+-1)+INDEX(Kernels!$B$13:$D$15,3,2)*INDEX(Datos!$B$3:$K$12,($A48+1)+1,(C$43+1)+0)+INDEX(Kernels!$B$13:$D$15,3,3)*INDEX(Datos!$B$3:$K$12,($A48+1)+1,(C$43+1)+1)),"")</f>
        <v>117</v>
      </c>
      <c r="D48" s="9">
        <f>IF(AND($A48&gt;=1,$A48&lt;=8,D$43&gt;=1,D$43&lt;=8),ABS(INDEX(Kernels!$B$13:$D$15,1,1)*INDEX(Datos!$B$3:$K$12,($A48+1)+-1,(D$43+1)+-1)+INDEX(Kernels!$B$13:$D$15,1,2)*INDEX(Datos!$B$3:$K$12,($A48+1)+-1,(D$43+1)+0)+INDEX(Kernels!$B$13:$D$15,1,3)*INDEX(Datos!$B$3:$K$12,($A48+1)+-1,(D$43+1)+1)+INDEX(Kernels!$B$13:$D$15,2,1)*INDEX(Datos!$B$3:$K$12,($A48+1)+0,(D$43+1)+-1)+INDEX(Kernels!$B$13:$D$15,2,2)*INDEX(Datos!$B$3:$K$12,($A48+1)+0,(D$43+1)+0)+INDEX(Kernels!$B$13:$D$15,2,3)*INDEX(Datos!$B$3:$K$12,($A48+1)+0,(D$43+1)+1)+INDEX(Kernels!$B$13:$D$15,3,1)*INDEX(Datos!$B$3:$K$12,($A48+1)+1,(D$43+1)+-1)+INDEX(Kernels!$B$13:$D$15,3,2)*INDEX(Datos!$B$3:$K$12,($A48+1)+1,(D$43+1)+0)+INDEX(Kernels!$B$13:$D$15,3,3)*INDEX(Datos!$B$3:$K$12,($A48+1)+1,(D$43+1)+1)),"")</f>
        <v>160</v>
      </c>
      <c r="E48" s="9">
        <f>IF(AND($A48&gt;=1,$A48&lt;=8,E$43&gt;=1,E$43&lt;=8),ABS(INDEX(Kernels!$B$13:$D$15,1,1)*INDEX(Datos!$B$3:$K$12,($A48+1)+-1,(E$43+1)+-1)+INDEX(Kernels!$B$13:$D$15,1,2)*INDEX(Datos!$B$3:$K$12,($A48+1)+-1,(E$43+1)+0)+INDEX(Kernels!$B$13:$D$15,1,3)*INDEX(Datos!$B$3:$K$12,($A48+1)+-1,(E$43+1)+1)+INDEX(Kernels!$B$13:$D$15,2,1)*INDEX(Datos!$B$3:$K$12,($A48+1)+0,(E$43+1)+-1)+INDEX(Kernels!$B$13:$D$15,2,2)*INDEX(Datos!$B$3:$K$12,($A48+1)+0,(E$43+1)+0)+INDEX(Kernels!$B$13:$D$15,2,3)*INDEX(Datos!$B$3:$K$12,($A48+1)+0,(E$43+1)+1)+INDEX(Kernels!$B$13:$D$15,3,1)*INDEX(Datos!$B$3:$K$12,($A48+1)+1,(E$43+1)+-1)+INDEX(Kernels!$B$13:$D$15,3,2)*INDEX(Datos!$B$3:$K$12,($A48+1)+1,(E$43+1)+0)+INDEX(Kernels!$B$13:$D$15,3,3)*INDEX(Datos!$B$3:$K$12,($A48+1)+1,(E$43+1)+1)),"")</f>
        <v>42</v>
      </c>
      <c r="F48" s="9">
        <f>IF(AND($A48&gt;=1,$A48&lt;=8,F$43&gt;=1,F$43&lt;=8),ABS(INDEX(Kernels!$B$13:$D$15,1,1)*INDEX(Datos!$B$3:$K$12,($A48+1)+-1,(F$43+1)+-1)+INDEX(Kernels!$B$13:$D$15,1,2)*INDEX(Datos!$B$3:$K$12,($A48+1)+-1,(F$43+1)+0)+INDEX(Kernels!$B$13:$D$15,1,3)*INDEX(Datos!$B$3:$K$12,($A48+1)+-1,(F$43+1)+1)+INDEX(Kernels!$B$13:$D$15,2,1)*INDEX(Datos!$B$3:$K$12,($A48+1)+0,(F$43+1)+-1)+INDEX(Kernels!$B$13:$D$15,2,2)*INDEX(Datos!$B$3:$K$12,($A48+1)+0,(F$43+1)+0)+INDEX(Kernels!$B$13:$D$15,2,3)*INDEX(Datos!$B$3:$K$12,($A48+1)+0,(F$43+1)+1)+INDEX(Kernels!$B$13:$D$15,3,1)*INDEX(Datos!$B$3:$K$12,($A48+1)+1,(F$43+1)+-1)+INDEX(Kernels!$B$13:$D$15,3,2)*INDEX(Datos!$B$3:$K$12,($A48+1)+1,(F$43+1)+0)+INDEX(Kernels!$B$13:$D$15,3,3)*INDEX(Datos!$B$3:$K$12,($A48+1)+1,(F$43+1)+1)),"")</f>
        <v>16</v>
      </c>
      <c r="G48" s="9">
        <f>IF(AND($A48&gt;=1,$A48&lt;=8,G$43&gt;=1,G$43&lt;=8),ABS(INDEX(Kernels!$B$13:$D$15,1,1)*INDEX(Datos!$B$3:$K$12,($A48+1)+-1,(G$43+1)+-1)+INDEX(Kernels!$B$13:$D$15,1,2)*INDEX(Datos!$B$3:$K$12,($A48+1)+-1,(G$43+1)+0)+INDEX(Kernels!$B$13:$D$15,1,3)*INDEX(Datos!$B$3:$K$12,($A48+1)+-1,(G$43+1)+1)+INDEX(Kernels!$B$13:$D$15,2,1)*INDEX(Datos!$B$3:$K$12,($A48+1)+0,(G$43+1)+-1)+INDEX(Kernels!$B$13:$D$15,2,2)*INDEX(Datos!$B$3:$K$12,($A48+1)+0,(G$43+1)+0)+INDEX(Kernels!$B$13:$D$15,2,3)*INDEX(Datos!$B$3:$K$12,($A48+1)+0,(G$43+1)+1)+INDEX(Kernels!$B$13:$D$15,3,1)*INDEX(Datos!$B$3:$K$12,($A48+1)+1,(G$43+1)+-1)+INDEX(Kernels!$B$13:$D$15,3,2)*INDEX(Datos!$B$3:$K$12,($A48+1)+1,(G$43+1)+0)+INDEX(Kernels!$B$13:$D$15,3,3)*INDEX(Datos!$B$3:$K$12,($A48+1)+1,(G$43+1)+1)),"")</f>
        <v>186</v>
      </c>
      <c r="H48" s="9">
        <f>IF(AND($A48&gt;=1,$A48&lt;=8,H$43&gt;=1,H$43&lt;=8),ABS(INDEX(Kernels!$B$13:$D$15,1,1)*INDEX(Datos!$B$3:$K$12,($A48+1)+-1,(H$43+1)+-1)+INDEX(Kernels!$B$13:$D$15,1,2)*INDEX(Datos!$B$3:$K$12,($A48+1)+-1,(H$43+1)+0)+INDEX(Kernels!$B$13:$D$15,1,3)*INDEX(Datos!$B$3:$K$12,($A48+1)+-1,(H$43+1)+1)+INDEX(Kernels!$B$13:$D$15,2,1)*INDEX(Datos!$B$3:$K$12,($A48+1)+0,(H$43+1)+-1)+INDEX(Kernels!$B$13:$D$15,2,2)*INDEX(Datos!$B$3:$K$12,($A48+1)+0,(H$43+1)+0)+INDEX(Kernels!$B$13:$D$15,2,3)*INDEX(Datos!$B$3:$K$12,($A48+1)+0,(H$43+1)+1)+INDEX(Kernels!$B$13:$D$15,3,1)*INDEX(Datos!$B$3:$K$12,($A48+1)+1,(H$43+1)+-1)+INDEX(Kernels!$B$13:$D$15,3,2)*INDEX(Datos!$B$3:$K$12,($A48+1)+1,(H$43+1)+0)+INDEX(Kernels!$B$13:$D$15,3,3)*INDEX(Datos!$B$3:$K$12,($A48+1)+1,(H$43+1)+1)),"")</f>
        <v>180</v>
      </c>
      <c r="I48" s="9">
        <f>IF(AND($A48&gt;=1,$A48&lt;=8,I$43&gt;=1,I$43&lt;=8),ABS(INDEX(Kernels!$B$13:$D$15,1,1)*INDEX(Datos!$B$3:$K$12,($A48+1)+-1,(I$43+1)+-1)+INDEX(Kernels!$B$13:$D$15,1,2)*INDEX(Datos!$B$3:$K$12,($A48+1)+-1,(I$43+1)+0)+INDEX(Kernels!$B$13:$D$15,1,3)*INDEX(Datos!$B$3:$K$12,($A48+1)+-1,(I$43+1)+1)+INDEX(Kernels!$B$13:$D$15,2,1)*INDEX(Datos!$B$3:$K$12,($A48+1)+0,(I$43+1)+-1)+INDEX(Kernels!$B$13:$D$15,2,2)*INDEX(Datos!$B$3:$K$12,($A48+1)+0,(I$43+1)+0)+INDEX(Kernels!$B$13:$D$15,2,3)*INDEX(Datos!$B$3:$K$12,($A48+1)+0,(I$43+1)+1)+INDEX(Kernels!$B$13:$D$15,3,1)*INDEX(Datos!$B$3:$K$12,($A48+1)+1,(I$43+1)+-1)+INDEX(Kernels!$B$13:$D$15,3,2)*INDEX(Datos!$B$3:$K$12,($A48+1)+1,(I$43+1)+0)+INDEX(Kernels!$B$13:$D$15,3,3)*INDEX(Datos!$B$3:$K$12,($A48+1)+1,(I$43+1)+1)),"")</f>
        <v>15</v>
      </c>
      <c r="J48" s="9">
        <f>IF(AND($A48&gt;=1,$A48&lt;=8,J$43&gt;=1,J$43&lt;=8),ABS(INDEX(Kernels!$B$13:$D$15,1,1)*INDEX(Datos!$B$3:$K$12,($A48+1)+-1,(J$43+1)+-1)+INDEX(Kernels!$B$13:$D$15,1,2)*INDEX(Datos!$B$3:$K$12,($A48+1)+-1,(J$43+1)+0)+INDEX(Kernels!$B$13:$D$15,1,3)*INDEX(Datos!$B$3:$K$12,($A48+1)+-1,(J$43+1)+1)+INDEX(Kernels!$B$13:$D$15,2,1)*INDEX(Datos!$B$3:$K$12,($A48+1)+0,(J$43+1)+-1)+INDEX(Kernels!$B$13:$D$15,2,2)*INDEX(Datos!$B$3:$K$12,($A48+1)+0,(J$43+1)+0)+INDEX(Kernels!$B$13:$D$15,2,3)*INDEX(Datos!$B$3:$K$12,($A48+1)+0,(J$43+1)+1)+INDEX(Kernels!$B$13:$D$15,3,1)*INDEX(Datos!$B$3:$K$12,($A48+1)+1,(J$43+1)+-1)+INDEX(Kernels!$B$13:$D$15,3,2)*INDEX(Datos!$B$3:$K$12,($A48+1)+1,(J$43+1)+0)+INDEX(Kernels!$B$13:$D$15,3,3)*INDEX(Datos!$B$3:$K$12,($A48+1)+1,(J$43+1)+1)),"")</f>
        <v>65</v>
      </c>
      <c r="K48" s="9" t="str">
        <f>IF(AND($A48&gt;=1,$A48&lt;=8,K$43&gt;=1,K$43&lt;=8),ABS(INDEX(Kernels!$B$13:$D$15,1,1)*INDEX(Datos!$B$3:$K$12,($A48+1)+-1,(K$43+1)+-1)+INDEX(Kernels!$B$13:$D$15,1,2)*INDEX(Datos!$B$3:$K$12,($A48+1)+-1,(K$43+1)+0)+INDEX(Kernels!$B$13:$D$15,1,3)*INDEX(Datos!$B$3:$K$12,($A48+1)+-1,(K$43+1)+1)+INDEX(Kernels!$B$13:$D$15,2,1)*INDEX(Datos!$B$3:$K$12,($A48+1)+0,(K$43+1)+-1)+INDEX(Kernels!$B$13:$D$15,2,2)*INDEX(Datos!$B$3:$K$12,($A48+1)+0,(K$43+1)+0)+INDEX(Kernels!$B$13:$D$15,2,3)*INDEX(Datos!$B$3:$K$12,($A48+1)+0,(K$43+1)+1)+INDEX(Kernels!$B$13:$D$15,3,1)*INDEX(Datos!$B$3:$K$12,($A48+1)+1,(K$43+1)+-1)+INDEX(Kernels!$B$13:$D$15,3,2)*INDEX(Datos!$B$3:$K$12,($A48+1)+1,(K$43+1)+0)+INDEX(Kernels!$B$13:$D$15,3,3)*INDEX(Datos!$B$3:$K$12,($A48+1)+1,(K$43+1)+1)),"")</f>
        <v/>
      </c>
    </row>
    <row r="49" spans="1:11" ht="24" customHeight="1" x14ac:dyDescent="0.2">
      <c r="A49" s="10">
        <v>5</v>
      </c>
      <c r="B49" s="9" t="str">
        <f>IF(AND($A49&gt;=1,$A49&lt;=8,B$43&gt;=1,B$43&lt;=8),ABS(INDEX(Kernels!$B$13:$D$15,1,1)*INDEX(Datos!$B$3:$K$12,($A49+1)+-1,(B$43+1)+-1)+INDEX(Kernels!$B$13:$D$15,1,2)*INDEX(Datos!$B$3:$K$12,($A49+1)+-1,(B$43+1)+0)+INDEX(Kernels!$B$13:$D$15,1,3)*INDEX(Datos!$B$3:$K$12,($A49+1)+-1,(B$43+1)+1)+INDEX(Kernels!$B$13:$D$15,2,1)*INDEX(Datos!$B$3:$K$12,($A49+1)+0,(B$43+1)+-1)+INDEX(Kernels!$B$13:$D$15,2,2)*INDEX(Datos!$B$3:$K$12,($A49+1)+0,(B$43+1)+0)+INDEX(Kernels!$B$13:$D$15,2,3)*INDEX(Datos!$B$3:$K$12,($A49+1)+0,(B$43+1)+1)+INDEX(Kernels!$B$13:$D$15,3,1)*INDEX(Datos!$B$3:$K$12,($A49+1)+1,(B$43+1)+-1)+INDEX(Kernels!$B$13:$D$15,3,2)*INDEX(Datos!$B$3:$K$12,($A49+1)+1,(B$43+1)+0)+INDEX(Kernels!$B$13:$D$15,3,3)*INDEX(Datos!$B$3:$K$12,($A49+1)+1,(B$43+1)+1)),"")</f>
        <v/>
      </c>
      <c r="C49" s="9">
        <f>IF(AND($A49&gt;=1,$A49&lt;=8,C$43&gt;=1,C$43&lt;=8),ABS(INDEX(Kernels!$B$13:$D$15,1,1)*INDEX(Datos!$B$3:$K$12,($A49+1)+-1,(C$43+1)+-1)+INDEX(Kernels!$B$13:$D$15,1,2)*INDEX(Datos!$B$3:$K$12,($A49+1)+-1,(C$43+1)+0)+INDEX(Kernels!$B$13:$D$15,1,3)*INDEX(Datos!$B$3:$K$12,($A49+1)+-1,(C$43+1)+1)+INDEX(Kernels!$B$13:$D$15,2,1)*INDEX(Datos!$B$3:$K$12,($A49+1)+0,(C$43+1)+-1)+INDEX(Kernels!$B$13:$D$15,2,2)*INDEX(Datos!$B$3:$K$12,($A49+1)+0,(C$43+1)+0)+INDEX(Kernels!$B$13:$D$15,2,3)*INDEX(Datos!$B$3:$K$12,($A49+1)+0,(C$43+1)+1)+INDEX(Kernels!$B$13:$D$15,3,1)*INDEX(Datos!$B$3:$K$12,($A49+1)+1,(C$43+1)+-1)+INDEX(Kernels!$B$13:$D$15,3,2)*INDEX(Datos!$B$3:$K$12,($A49+1)+1,(C$43+1)+0)+INDEX(Kernels!$B$13:$D$15,3,3)*INDEX(Datos!$B$3:$K$12,($A49+1)+1,(C$43+1)+1)),"")</f>
        <v>94</v>
      </c>
      <c r="D49" s="9">
        <f>IF(AND($A49&gt;=1,$A49&lt;=8,D$43&gt;=1,D$43&lt;=8),ABS(INDEX(Kernels!$B$13:$D$15,1,1)*INDEX(Datos!$B$3:$K$12,($A49+1)+-1,(D$43+1)+-1)+INDEX(Kernels!$B$13:$D$15,1,2)*INDEX(Datos!$B$3:$K$12,($A49+1)+-1,(D$43+1)+0)+INDEX(Kernels!$B$13:$D$15,1,3)*INDEX(Datos!$B$3:$K$12,($A49+1)+-1,(D$43+1)+1)+INDEX(Kernels!$B$13:$D$15,2,1)*INDEX(Datos!$B$3:$K$12,($A49+1)+0,(D$43+1)+-1)+INDEX(Kernels!$B$13:$D$15,2,2)*INDEX(Datos!$B$3:$K$12,($A49+1)+0,(D$43+1)+0)+INDEX(Kernels!$B$13:$D$15,2,3)*INDEX(Datos!$B$3:$K$12,($A49+1)+0,(D$43+1)+1)+INDEX(Kernels!$B$13:$D$15,3,1)*INDEX(Datos!$B$3:$K$12,($A49+1)+1,(D$43+1)+-1)+INDEX(Kernels!$B$13:$D$15,3,2)*INDEX(Datos!$B$3:$K$12,($A49+1)+1,(D$43+1)+0)+INDEX(Kernels!$B$13:$D$15,3,3)*INDEX(Datos!$B$3:$K$12,($A49+1)+1,(D$43+1)+1)),"")</f>
        <v>46</v>
      </c>
      <c r="E49" s="9">
        <f>IF(AND($A49&gt;=1,$A49&lt;=8,E$43&gt;=1,E$43&lt;=8),ABS(INDEX(Kernels!$B$13:$D$15,1,1)*INDEX(Datos!$B$3:$K$12,($A49+1)+-1,(E$43+1)+-1)+INDEX(Kernels!$B$13:$D$15,1,2)*INDEX(Datos!$B$3:$K$12,($A49+1)+-1,(E$43+1)+0)+INDEX(Kernels!$B$13:$D$15,1,3)*INDEX(Datos!$B$3:$K$12,($A49+1)+-1,(E$43+1)+1)+INDEX(Kernels!$B$13:$D$15,2,1)*INDEX(Datos!$B$3:$K$12,($A49+1)+0,(E$43+1)+-1)+INDEX(Kernels!$B$13:$D$15,2,2)*INDEX(Datos!$B$3:$K$12,($A49+1)+0,(E$43+1)+0)+INDEX(Kernels!$B$13:$D$15,2,3)*INDEX(Datos!$B$3:$K$12,($A49+1)+0,(E$43+1)+1)+INDEX(Kernels!$B$13:$D$15,3,1)*INDEX(Datos!$B$3:$K$12,($A49+1)+1,(E$43+1)+-1)+INDEX(Kernels!$B$13:$D$15,3,2)*INDEX(Datos!$B$3:$K$12,($A49+1)+1,(E$43+1)+0)+INDEX(Kernels!$B$13:$D$15,3,3)*INDEX(Datos!$B$3:$K$12,($A49+1)+1,(E$43+1)+1)),"")</f>
        <v>70</v>
      </c>
      <c r="F49" s="9">
        <f>IF(AND($A49&gt;=1,$A49&lt;=8,F$43&gt;=1,F$43&lt;=8),ABS(INDEX(Kernels!$B$13:$D$15,1,1)*INDEX(Datos!$B$3:$K$12,($A49+1)+-1,(F$43+1)+-1)+INDEX(Kernels!$B$13:$D$15,1,2)*INDEX(Datos!$B$3:$K$12,($A49+1)+-1,(F$43+1)+0)+INDEX(Kernels!$B$13:$D$15,1,3)*INDEX(Datos!$B$3:$K$12,($A49+1)+-1,(F$43+1)+1)+INDEX(Kernels!$B$13:$D$15,2,1)*INDEX(Datos!$B$3:$K$12,($A49+1)+0,(F$43+1)+-1)+INDEX(Kernels!$B$13:$D$15,2,2)*INDEX(Datos!$B$3:$K$12,($A49+1)+0,(F$43+1)+0)+INDEX(Kernels!$B$13:$D$15,2,3)*INDEX(Datos!$B$3:$K$12,($A49+1)+0,(F$43+1)+1)+INDEX(Kernels!$B$13:$D$15,3,1)*INDEX(Datos!$B$3:$K$12,($A49+1)+1,(F$43+1)+-1)+INDEX(Kernels!$B$13:$D$15,3,2)*INDEX(Datos!$B$3:$K$12,($A49+1)+1,(F$43+1)+0)+INDEX(Kernels!$B$13:$D$15,3,3)*INDEX(Datos!$B$3:$K$12,($A49+1)+1,(F$43+1)+1)),"")</f>
        <v>98</v>
      </c>
      <c r="G49" s="9">
        <f>IF(AND($A49&gt;=1,$A49&lt;=8,G$43&gt;=1,G$43&lt;=8),ABS(INDEX(Kernels!$B$13:$D$15,1,1)*INDEX(Datos!$B$3:$K$12,($A49+1)+-1,(G$43+1)+-1)+INDEX(Kernels!$B$13:$D$15,1,2)*INDEX(Datos!$B$3:$K$12,($A49+1)+-1,(G$43+1)+0)+INDEX(Kernels!$B$13:$D$15,1,3)*INDEX(Datos!$B$3:$K$12,($A49+1)+-1,(G$43+1)+1)+INDEX(Kernels!$B$13:$D$15,2,1)*INDEX(Datos!$B$3:$K$12,($A49+1)+0,(G$43+1)+-1)+INDEX(Kernels!$B$13:$D$15,2,2)*INDEX(Datos!$B$3:$K$12,($A49+1)+0,(G$43+1)+0)+INDEX(Kernels!$B$13:$D$15,2,3)*INDEX(Datos!$B$3:$K$12,($A49+1)+0,(G$43+1)+1)+INDEX(Kernels!$B$13:$D$15,3,1)*INDEX(Datos!$B$3:$K$12,($A49+1)+1,(G$43+1)+-1)+INDEX(Kernels!$B$13:$D$15,3,2)*INDEX(Datos!$B$3:$K$12,($A49+1)+1,(G$43+1)+0)+INDEX(Kernels!$B$13:$D$15,3,3)*INDEX(Datos!$B$3:$K$12,($A49+1)+1,(G$43+1)+1)),"")</f>
        <v>133</v>
      </c>
      <c r="H49" s="9">
        <f>IF(AND($A49&gt;=1,$A49&lt;=8,H$43&gt;=1,H$43&lt;=8),ABS(INDEX(Kernels!$B$13:$D$15,1,1)*INDEX(Datos!$B$3:$K$12,($A49+1)+-1,(H$43+1)+-1)+INDEX(Kernels!$B$13:$D$15,1,2)*INDEX(Datos!$B$3:$K$12,($A49+1)+-1,(H$43+1)+0)+INDEX(Kernels!$B$13:$D$15,1,3)*INDEX(Datos!$B$3:$K$12,($A49+1)+-1,(H$43+1)+1)+INDEX(Kernels!$B$13:$D$15,2,1)*INDEX(Datos!$B$3:$K$12,($A49+1)+0,(H$43+1)+-1)+INDEX(Kernels!$B$13:$D$15,2,2)*INDEX(Datos!$B$3:$K$12,($A49+1)+0,(H$43+1)+0)+INDEX(Kernels!$B$13:$D$15,2,3)*INDEX(Datos!$B$3:$K$12,($A49+1)+0,(H$43+1)+1)+INDEX(Kernels!$B$13:$D$15,3,1)*INDEX(Datos!$B$3:$K$12,($A49+1)+1,(H$43+1)+-1)+INDEX(Kernels!$B$13:$D$15,3,2)*INDEX(Datos!$B$3:$K$12,($A49+1)+1,(H$43+1)+0)+INDEX(Kernels!$B$13:$D$15,3,3)*INDEX(Datos!$B$3:$K$12,($A49+1)+1,(H$43+1)+1)),"")</f>
        <v>99</v>
      </c>
      <c r="I49" s="9">
        <f>IF(AND($A49&gt;=1,$A49&lt;=8,I$43&gt;=1,I$43&lt;=8),ABS(INDEX(Kernels!$B$13:$D$15,1,1)*INDEX(Datos!$B$3:$K$12,($A49+1)+-1,(I$43+1)+-1)+INDEX(Kernels!$B$13:$D$15,1,2)*INDEX(Datos!$B$3:$K$12,($A49+1)+-1,(I$43+1)+0)+INDEX(Kernels!$B$13:$D$15,1,3)*INDEX(Datos!$B$3:$K$12,($A49+1)+-1,(I$43+1)+1)+INDEX(Kernels!$B$13:$D$15,2,1)*INDEX(Datos!$B$3:$K$12,($A49+1)+0,(I$43+1)+-1)+INDEX(Kernels!$B$13:$D$15,2,2)*INDEX(Datos!$B$3:$K$12,($A49+1)+0,(I$43+1)+0)+INDEX(Kernels!$B$13:$D$15,2,3)*INDEX(Datos!$B$3:$K$12,($A49+1)+0,(I$43+1)+1)+INDEX(Kernels!$B$13:$D$15,3,1)*INDEX(Datos!$B$3:$K$12,($A49+1)+1,(I$43+1)+-1)+INDEX(Kernels!$B$13:$D$15,3,2)*INDEX(Datos!$B$3:$K$12,($A49+1)+1,(I$43+1)+0)+INDEX(Kernels!$B$13:$D$15,3,3)*INDEX(Datos!$B$3:$K$12,($A49+1)+1,(I$43+1)+1)),"")</f>
        <v>6</v>
      </c>
      <c r="J49" s="9">
        <f>IF(AND($A49&gt;=1,$A49&lt;=8,J$43&gt;=1,J$43&lt;=8),ABS(INDEX(Kernels!$B$13:$D$15,1,1)*INDEX(Datos!$B$3:$K$12,($A49+1)+-1,(J$43+1)+-1)+INDEX(Kernels!$B$13:$D$15,1,2)*INDEX(Datos!$B$3:$K$12,($A49+1)+-1,(J$43+1)+0)+INDEX(Kernels!$B$13:$D$15,1,3)*INDEX(Datos!$B$3:$K$12,($A49+1)+-1,(J$43+1)+1)+INDEX(Kernels!$B$13:$D$15,2,1)*INDEX(Datos!$B$3:$K$12,($A49+1)+0,(J$43+1)+-1)+INDEX(Kernels!$B$13:$D$15,2,2)*INDEX(Datos!$B$3:$K$12,($A49+1)+0,(J$43+1)+0)+INDEX(Kernels!$B$13:$D$15,2,3)*INDEX(Datos!$B$3:$K$12,($A49+1)+0,(J$43+1)+1)+INDEX(Kernels!$B$13:$D$15,3,1)*INDEX(Datos!$B$3:$K$12,($A49+1)+1,(J$43+1)+-1)+INDEX(Kernels!$B$13:$D$15,3,2)*INDEX(Datos!$B$3:$K$12,($A49+1)+1,(J$43+1)+0)+INDEX(Kernels!$B$13:$D$15,3,3)*INDEX(Datos!$B$3:$K$12,($A49+1)+1,(J$43+1)+1)),"")</f>
        <v>82</v>
      </c>
      <c r="K49" s="9" t="str">
        <f>IF(AND($A49&gt;=1,$A49&lt;=8,K$43&gt;=1,K$43&lt;=8),ABS(INDEX(Kernels!$B$13:$D$15,1,1)*INDEX(Datos!$B$3:$K$12,($A49+1)+-1,(K$43+1)+-1)+INDEX(Kernels!$B$13:$D$15,1,2)*INDEX(Datos!$B$3:$K$12,($A49+1)+-1,(K$43+1)+0)+INDEX(Kernels!$B$13:$D$15,1,3)*INDEX(Datos!$B$3:$K$12,($A49+1)+-1,(K$43+1)+1)+INDEX(Kernels!$B$13:$D$15,2,1)*INDEX(Datos!$B$3:$K$12,($A49+1)+0,(K$43+1)+-1)+INDEX(Kernels!$B$13:$D$15,2,2)*INDEX(Datos!$B$3:$K$12,($A49+1)+0,(K$43+1)+0)+INDEX(Kernels!$B$13:$D$15,2,3)*INDEX(Datos!$B$3:$K$12,($A49+1)+0,(K$43+1)+1)+INDEX(Kernels!$B$13:$D$15,3,1)*INDEX(Datos!$B$3:$K$12,($A49+1)+1,(K$43+1)+-1)+INDEX(Kernels!$B$13:$D$15,3,2)*INDEX(Datos!$B$3:$K$12,($A49+1)+1,(K$43+1)+0)+INDEX(Kernels!$B$13:$D$15,3,3)*INDEX(Datos!$B$3:$K$12,($A49+1)+1,(K$43+1)+1)),"")</f>
        <v/>
      </c>
    </row>
    <row r="50" spans="1:11" ht="24" customHeight="1" x14ac:dyDescent="0.2">
      <c r="A50" s="10">
        <v>6</v>
      </c>
      <c r="B50" s="9" t="str">
        <f>IF(AND($A50&gt;=1,$A50&lt;=8,B$43&gt;=1,B$43&lt;=8),ABS(INDEX(Kernels!$B$13:$D$15,1,1)*INDEX(Datos!$B$3:$K$12,($A50+1)+-1,(B$43+1)+-1)+INDEX(Kernels!$B$13:$D$15,1,2)*INDEX(Datos!$B$3:$K$12,($A50+1)+-1,(B$43+1)+0)+INDEX(Kernels!$B$13:$D$15,1,3)*INDEX(Datos!$B$3:$K$12,($A50+1)+-1,(B$43+1)+1)+INDEX(Kernels!$B$13:$D$15,2,1)*INDEX(Datos!$B$3:$K$12,($A50+1)+0,(B$43+1)+-1)+INDEX(Kernels!$B$13:$D$15,2,2)*INDEX(Datos!$B$3:$K$12,($A50+1)+0,(B$43+1)+0)+INDEX(Kernels!$B$13:$D$15,2,3)*INDEX(Datos!$B$3:$K$12,($A50+1)+0,(B$43+1)+1)+INDEX(Kernels!$B$13:$D$15,3,1)*INDEX(Datos!$B$3:$K$12,($A50+1)+1,(B$43+1)+-1)+INDEX(Kernels!$B$13:$D$15,3,2)*INDEX(Datos!$B$3:$K$12,($A50+1)+1,(B$43+1)+0)+INDEX(Kernels!$B$13:$D$15,3,3)*INDEX(Datos!$B$3:$K$12,($A50+1)+1,(B$43+1)+1)),"")</f>
        <v/>
      </c>
      <c r="C50" s="9">
        <f>IF(AND($A50&gt;=1,$A50&lt;=8,C$43&gt;=1,C$43&lt;=8),ABS(INDEX(Kernels!$B$13:$D$15,1,1)*INDEX(Datos!$B$3:$K$12,($A50+1)+-1,(C$43+1)+-1)+INDEX(Kernels!$B$13:$D$15,1,2)*INDEX(Datos!$B$3:$K$12,($A50+1)+-1,(C$43+1)+0)+INDEX(Kernels!$B$13:$D$15,1,3)*INDEX(Datos!$B$3:$K$12,($A50+1)+-1,(C$43+1)+1)+INDEX(Kernels!$B$13:$D$15,2,1)*INDEX(Datos!$B$3:$K$12,($A50+1)+0,(C$43+1)+-1)+INDEX(Kernels!$B$13:$D$15,2,2)*INDEX(Datos!$B$3:$K$12,($A50+1)+0,(C$43+1)+0)+INDEX(Kernels!$B$13:$D$15,2,3)*INDEX(Datos!$B$3:$K$12,($A50+1)+0,(C$43+1)+1)+INDEX(Kernels!$B$13:$D$15,3,1)*INDEX(Datos!$B$3:$K$12,($A50+1)+1,(C$43+1)+-1)+INDEX(Kernels!$B$13:$D$15,3,2)*INDEX(Datos!$B$3:$K$12,($A50+1)+1,(C$43+1)+0)+INDEX(Kernels!$B$13:$D$15,3,3)*INDEX(Datos!$B$3:$K$12,($A50+1)+1,(C$43+1)+1)),"")</f>
        <v>31</v>
      </c>
      <c r="D50" s="9">
        <f>IF(AND($A50&gt;=1,$A50&lt;=8,D$43&gt;=1,D$43&lt;=8),ABS(INDEX(Kernels!$B$13:$D$15,1,1)*INDEX(Datos!$B$3:$K$12,($A50+1)+-1,(D$43+1)+-1)+INDEX(Kernels!$B$13:$D$15,1,2)*INDEX(Datos!$B$3:$K$12,($A50+1)+-1,(D$43+1)+0)+INDEX(Kernels!$B$13:$D$15,1,3)*INDEX(Datos!$B$3:$K$12,($A50+1)+-1,(D$43+1)+1)+INDEX(Kernels!$B$13:$D$15,2,1)*INDEX(Datos!$B$3:$K$12,($A50+1)+0,(D$43+1)+-1)+INDEX(Kernels!$B$13:$D$15,2,2)*INDEX(Datos!$B$3:$K$12,($A50+1)+0,(D$43+1)+0)+INDEX(Kernels!$B$13:$D$15,2,3)*INDEX(Datos!$B$3:$K$12,($A50+1)+0,(D$43+1)+1)+INDEX(Kernels!$B$13:$D$15,3,1)*INDEX(Datos!$B$3:$K$12,($A50+1)+1,(D$43+1)+-1)+INDEX(Kernels!$B$13:$D$15,3,2)*INDEX(Datos!$B$3:$K$12,($A50+1)+1,(D$43+1)+0)+INDEX(Kernels!$B$13:$D$15,3,3)*INDEX(Datos!$B$3:$K$12,($A50+1)+1,(D$43+1)+1)),"")</f>
        <v>122</v>
      </c>
      <c r="E50" s="9">
        <f>IF(AND($A50&gt;=1,$A50&lt;=8,E$43&gt;=1,E$43&lt;=8),ABS(INDEX(Kernels!$B$13:$D$15,1,1)*INDEX(Datos!$B$3:$K$12,($A50+1)+-1,(E$43+1)+-1)+INDEX(Kernels!$B$13:$D$15,1,2)*INDEX(Datos!$B$3:$K$12,($A50+1)+-1,(E$43+1)+0)+INDEX(Kernels!$B$13:$D$15,1,3)*INDEX(Datos!$B$3:$K$12,($A50+1)+-1,(E$43+1)+1)+INDEX(Kernels!$B$13:$D$15,2,1)*INDEX(Datos!$B$3:$K$12,($A50+1)+0,(E$43+1)+-1)+INDEX(Kernels!$B$13:$D$15,2,2)*INDEX(Datos!$B$3:$K$12,($A50+1)+0,(E$43+1)+0)+INDEX(Kernels!$B$13:$D$15,2,3)*INDEX(Datos!$B$3:$K$12,($A50+1)+0,(E$43+1)+1)+INDEX(Kernels!$B$13:$D$15,3,1)*INDEX(Datos!$B$3:$K$12,($A50+1)+1,(E$43+1)+-1)+INDEX(Kernels!$B$13:$D$15,3,2)*INDEX(Datos!$B$3:$K$12,($A50+1)+1,(E$43+1)+0)+INDEX(Kernels!$B$13:$D$15,3,3)*INDEX(Datos!$B$3:$K$12,($A50+1)+1,(E$43+1)+1)),"")</f>
        <v>122</v>
      </c>
      <c r="F50" s="9">
        <f>IF(AND($A50&gt;=1,$A50&lt;=8,F$43&gt;=1,F$43&lt;=8),ABS(INDEX(Kernels!$B$13:$D$15,1,1)*INDEX(Datos!$B$3:$K$12,($A50+1)+-1,(F$43+1)+-1)+INDEX(Kernels!$B$13:$D$15,1,2)*INDEX(Datos!$B$3:$K$12,($A50+1)+-1,(F$43+1)+0)+INDEX(Kernels!$B$13:$D$15,1,3)*INDEX(Datos!$B$3:$K$12,($A50+1)+-1,(F$43+1)+1)+INDEX(Kernels!$B$13:$D$15,2,1)*INDEX(Datos!$B$3:$K$12,($A50+1)+0,(F$43+1)+-1)+INDEX(Kernels!$B$13:$D$15,2,2)*INDEX(Datos!$B$3:$K$12,($A50+1)+0,(F$43+1)+0)+INDEX(Kernels!$B$13:$D$15,2,3)*INDEX(Datos!$B$3:$K$12,($A50+1)+0,(F$43+1)+1)+INDEX(Kernels!$B$13:$D$15,3,1)*INDEX(Datos!$B$3:$K$12,($A50+1)+1,(F$43+1)+-1)+INDEX(Kernels!$B$13:$D$15,3,2)*INDEX(Datos!$B$3:$K$12,($A50+1)+1,(F$43+1)+0)+INDEX(Kernels!$B$13:$D$15,3,3)*INDEX(Datos!$B$3:$K$12,($A50+1)+1,(F$43+1)+1)),"")</f>
        <v>93</v>
      </c>
      <c r="G50" s="9">
        <f>IF(AND($A50&gt;=1,$A50&lt;=8,G$43&gt;=1,G$43&lt;=8),ABS(INDEX(Kernels!$B$13:$D$15,1,1)*INDEX(Datos!$B$3:$K$12,($A50+1)+-1,(G$43+1)+-1)+INDEX(Kernels!$B$13:$D$15,1,2)*INDEX(Datos!$B$3:$K$12,($A50+1)+-1,(G$43+1)+0)+INDEX(Kernels!$B$13:$D$15,1,3)*INDEX(Datos!$B$3:$K$12,($A50+1)+-1,(G$43+1)+1)+INDEX(Kernels!$B$13:$D$15,2,1)*INDEX(Datos!$B$3:$K$12,($A50+1)+0,(G$43+1)+-1)+INDEX(Kernels!$B$13:$D$15,2,2)*INDEX(Datos!$B$3:$K$12,($A50+1)+0,(G$43+1)+0)+INDEX(Kernels!$B$13:$D$15,2,3)*INDEX(Datos!$B$3:$K$12,($A50+1)+0,(G$43+1)+1)+INDEX(Kernels!$B$13:$D$15,3,1)*INDEX(Datos!$B$3:$K$12,($A50+1)+1,(G$43+1)+-1)+INDEX(Kernels!$B$13:$D$15,3,2)*INDEX(Datos!$B$3:$K$12,($A50+1)+1,(G$43+1)+0)+INDEX(Kernels!$B$13:$D$15,3,3)*INDEX(Datos!$B$3:$K$12,($A50+1)+1,(G$43+1)+1)),"")</f>
        <v>26</v>
      </c>
      <c r="H50" s="9">
        <f>IF(AND($A50&gt;=1,$A50&lt;=8,H$43&gt;=1,H$43&lt;=8),ABS(INDEX(Kernels!$B$13:$D$15,1,1)*INDEX(Datos!$B$3:$K$12,($A50+1)+-1,(H$43+1)+-1)+INDEX(Kernels!$B$13:$D$15,1,2)*INDEX(Datos!$B$3:$K$12,($A50+1)+-1,(H$43+1)+0)+INDEX(Kernels!$B$13:$D$15,1,3)*INDEX(Datos!$B$3:$K$12,($A50+1)+-1,(H$43+1)+1)+INDEX(Kernels!$B$13:$D$15,2,1)*INDEX(Datos!$B$3:$K$12,($A50+1)+0,(H$43+1)+-1)+INDEX(Kernels!$B$13:$D$15,2,2)*INDEX(Datos!$B$3:$K$12,($A50+1)+0,(H$43+1)+0)+INDEX(Kernels!$B$13:$D$15,2,3)*INDEX(Datos!$B$3:$K$12,($A50+1)+0,(H$43+1)+1)+INDEX(Kernels!$B$13:$D$15,3,1)*INDEX(Datos!$B$3:$K$12,($A50+1)+1,(H$43+1)+-1)+INDEX(Kernels!$B$13:$D$15,3,2)*INDEX(Datos!$B$3:$K$12,($A50+1)+1,(H$43+1)+0)+INDEX(Kernels!$B$13:$D$15,3,3)*INDEX(Datos!$B$3:$K$12,($A50+1)+1,(H$43+1)+1)),"")</f>
        <v>35</v>
      </c>
      <c r="I50" s="9">
        <f>IF(AND($A50&gt;=1,$A50&lt;=8,I$43&gt;=1,I$43&lt;=8),ABS(INDEX(Kernels!$B$13:$D$15,1,1)*INDEX(Datos!$B$3:$K$12,($A50+1)+-1,(I$43+1)+-1)+INDEX(Kernels!$B$13:$D$15,1,2)*INDEX(Datos!$B$3:$K$12,($A50+1)+-1,(I$43+1)+0)+INDEX(Kernels!$B$13:$D$15,1,3)*INDEX(Datos!$B$3:$K$12,($A50+1)+-1,(I$43+1)+1)+INDEX(Kernels!$B$13:$D$15,2,1)*INDEX(Datos!$B$3:$K$12,($A50+1)+0,(I$43+1)+-1)+INDEX(Kernels!$B$13:$D$15,2,2)*INDEX(Datos!$B$3:$K$12,($A50+1)+0,(I$43+1)+0)+INDEX(Kernels!$B$13:$D$15,2,3)*INDEX(Datos!$B$3:$K$12,($A50+1)+0,(I$43+1)+1)+INDEX(Kernels!$B$13:$D$15,3,1)*INDEX(Datos!$B$3:$K$12,($A50+1)+1,(I$43+1)+-1)+INDEX(Kernels!$B$13:$D$15,3,2)*INDEX(Datos!$B$3:$K$12,($A50+1)+1,(I$43+1)+0)+INDEX(Kernels!$B$13:$D$15,3,3)*INDEX(Datos!$B$3:$K$12,($A50+1)+1,(I$43+1)+1)),"")</f>
        <v>89</v>
      </c>
      <c r="J50" s="9">
        <f>IF(AND($A50&gt;=1,$A50&lt;=8,J$43&gt;=1,J$43&lt;=8),ABS(INDEX(Kernels!$B$13:$D$15,1,1)*INDEX(Datos!$B$3:$K$12,($A50+1)+-1,(J$43+1)+-1)+INDEX(Kernels!$B$13:$D$15,1,2)*INDEX(Datos!$B$3:$K$12,($A50+1)+-1,(J$43+1)+0)+INDEX(Kernels!$B$13:$D$15,1,3)*INDEX(Datos!$B$3:$K$12,($A50+1)+-1,(J$43+1)+1)+INDEX(Kernels!$B$13:$D$15,2,1)*INDEX(Datos!$B$3:$K$12,($A50+1)+0,(J$43+1)+-1)+INDEX(Kernels!$B$13:$D$15,2,2)*INDEX(Datos!$B$3:$K$12,($A50+1)+0,(J$43+1)+0)+INDEX(Kernels!$B$13:$D$15,2,3)*INDEX(Datos!$B$3:$K$12,($A50+1)+0,(J$43+1)+1)+INDEX(Kernels!$B$13:$D$15,3,1)*INDEX(Datos!$B$3:$K$12,($A50+1)+1,(J$43+1)+-1)+INDEX(Kernels!$B$13:$D$15,3,2)*INDEX(Datos!$B$3:$K$12,($A50+1)+1,(J$43+1)+0)+INDEX(Kernels!$B$13:$D$15,3,3)*INDEX(Datos!$B$3:$K$12,($A50+1)+1,(J$43+1)+1)),"")</f>
        <v>58</v>
      </c>
      <c r="K50" s="9" t="str">
        <f>IF(AND($A50&gt;=1,$A50&lt;=8,K$43&gt;=1,K$43&lt;=8),ABS(INDEX(Kernels!$B$13:$D$15,1,1)*INDEX(Datos!$B$3:$K$12,($A50+1)+-1,(K$43+1)+-1)+INDEX(Kernels!$B$13:$D$15,1,2)*INDEX(Datos!$B$3:$K$12,($A50+1)+-1,(K$43+1)+0)+INDEX(Kernels!$B$13:$D$15,1,3)*INDEX(Datos!$B$3:$K$12,($A50+1)+-1,(K$43+1)+1)+INDEX(Kernels!$B$13:$D$15,2,1)*INDEX(Datos!$B$3:$K$12,($A50+1)+0,(K$43+1)+-1)+INDEX(Kernels!$B$13:$D$15,2,2)*INDEX(Datos!$B$3:$K$12,($A50+1)+0,(K$43+1)+0)+INDEX(Kernels!$B$13:$D$15,2,3)*INDEX(Datos!$B$3:$K$12,($A50+1)+0,(K$43+1)+1)+INDEX(Kernels!$B$13:$D$15,3,1)*INDEX(Datos!$B$3:$K$12,($A50+1)+1,(K$43+1)+-1)+INDEX(Kernels!$B$13:$D$15,3,2)*INDEX(Datos!$B$3:$K$12,($A50+1)+1,(K$43+1)+0)+INDEX(Kernels!$B$13:$D$15,3,3)*INDEX(Datos!$B$3:$K$12,($A50+1)+1,(K$43+1)+1)),"")</f>
        <v/>
      </c>
    </row>
    <row r="51" spans="1:11" ht="24" customHeight="1" x14ac:dyDescent="0.2">
      <c r="A51" s="10">
        <v>7</v>
      </c>
      <c r="B51" s="9" t="str">
        <f>IF(AND($A51&gt;=1,$A51&lt;=8,B$43&gt;=1,B$43&lt;=8),ABS(INDEX(Kernels!$B$13:$D$15,1,1)*INDEX(Datos!$B$3:$K$12,($A51+1)+-1,(B$43+1)+-1)+INDEX(Kernels!$B$13:$D$15,1,2)*INDEX(Datos!$B$3:$K$12,($A51+1)+-1,(B$43+1)+0)+INDEX(Kernels!$B$13:$D$15,1,3)*INDEX(Datos!$B$3:$K$12,($A51+1)+-1,(B$43+1)+1)+INDEX(Kernels!$B$13:$D$15,2,1)*INDEX(Datos!$B$3:$K$12,($A51+1)+0,(B$43+1)+-1)+INDEX(Kernels!$B$13:$D$15,2,2)*INDEX(Datos!$B$3:$K$12,($A51+1)+0,(B$43+1)+0)+INDEX(Kernels!$B$13:$D$15,2,3)*INDEX(Datos!$B$3:$K$12,($A51+1)+0,(B$43+1)+1)+INDEX(Kernels!$B$13:$D$15,3,1)*INDEX(Datos!$B$3:$K$12,($A51+1)+1,(B$43+1)+-1)+INDEX(Kernels!$B$13:$D$15,3,2)*INDEX(Datos!$B$3:$K$12,($A51+1)+1,(B$43+1)+0)+INDEX(Kernels!$B$13:$D$15,3,3)*INDEX(Datos!$B$3:$K$12,($A51+1)+1,(B$43+1)+1)),"")</f>
        <v/>
      </c>
      <c r="C51" s="9">
        <f>IF(AND($A51&gt;=1,$A51&lt;=8,C$43&gt;=1,C$43&lt;=8),ABS(INDEX(Kernels!$B$13:$D$15,1,1)*INDEX(Datos!$B$3:$K$12,($A51+1)+-1,(C$43+1)+-1)+INDEX(Kernels!$B$13:$D$15,1,2)*INDEX(Datos!$B$3:$K$12,($A51+1)+-1,(C$43+1)+0)+INDEX(Kernels!$B$13:$D$15,1,3)*INDEX(Datos!$B$3:$K$12,($A51+1)+-1,(C$43+1)+1)+INDEX(Kernels!$B$13:$D$15,2,1)*INDEX(Datos!$B$3:$K$12,($A51+1)+0,(C$43+1)+-1)+INDEX(Kernels!$B$13:$D$15,2,2)*INDEX(Datos!$B$3:$K$12,($A51+1)+0,(C$43+1)+0)+INDEX(Kernels!$B$13:$D$15,2,3)*INDEX(Datos!$B$3:$K$12,($A51+1)+0,(C$43+1)+1)+INDEX(Kernels!$B$13:$D$15,3,1)*INDEX(Datos!$B$3:$K$12,($A51+1)+1,(C$43+1)+-1)+INDEX(Kernels!$B$13:$D$15,3,2)*INDEX(Datos!$B$3:$K$12,($A51+1)+1,(C$43+1)+0)+INDEX(Kernels!$B$13:$D$15,3,3)*INDEX(Datos!$B$3:$K$12,($A51+1)+1,(C$43+1)+1)),"")</f>
        <v>98</v>
      </c>
      <c r="D51" s="9">
        <f>IF(AND($A51&gt;=1,$A51&lt;=8,D$43&gt;=1,D$43&lt;=8),ABS(INDEX(Kernels!$B$13:$D$15,1,1)*INDEX(Datos!$B$3:$K$12,($A51+1)+-1,(D$43+1)+-1)+INDEX(Kernels!$B$13:$D$15,1,2)*INDEX(Datos!$B$3:$K$12,($A51+1)+-1,(D$43+1)+0)+INDEX(Kernels!$B$13:$D$15,1,3)*INDEX(Datos!$B$3:$K$12,($A51+1)+-1,(D$43+1)+1)+INDEX(Kernels!$B$13:$D$15,2,1)*INDEX(Datos!$B$3:$K$12,($A51+1)+0,(D$43+1)+-1)+INDEX(Kernels!$B$13:$D$15,2,2)*INDEX(Datos!$B$3:$K$12,($A51+1)+0,(D$43+1)+0)+INDEX(Kernels!$B$13:$D$15,2,3)*INDEX(Datos!$B$3:$K$12,($A51+1)+0,(D$43+1)+1)+INDEX(Kernels!$B$13:$D$15,3,1)*INDEX(Datos!$B$3:$K$12,($A51+1)+1,(D$43+1)+-1)+INDEX(Kernels!$B$13:$D$15,3,2)*INDEX(Datos!$B$3:$K$12,($A51+1)+1,(D$43+1)+0)+INDEX(Kernels!$B$13:$D$15,3,3)*INDEX(Datos!$B$3:$K$12,($A51+1)+1,(D$43+1)+1)),"")</f>
        <v>154</v>
      </c>
      <c r="E51" s="9">
        <f>IF(AND($A51&gt;=1,$A51&lt;=8,E$43&gt;=1,E$43&lt;=8),ABS(INDEX(Kernels!$B$13:$D$15,1,1)*INDEX(Datos!$B$3:$K$12,($A51+1)+-1,(E$43+1)+-1)+INDEX(Kernels!$B$13:$D$15,1,2)*INDEX(Datos!$B$3:$K$12,($A51+1)+-1,(E$43+1)+0)+INDEX(Kernels!$B$13:$D$15,1,3)*INDEX(Datos!$B$3:$K$12,($A51+1)+-1,(E$43+1)+1)+INDEX(Kernels!$B$13:$D$15,2,1)*INDEX(Datos!$B$3:$K$12,($A51+1)+0,(E$43+1)+-1)+INDEX(Kernels!$B$13:$D$15,2,2)*INDEX(Datos!$B$3:$K$12,($A51+1)+0,(E$43+1)+0)+INDEX(Kernels!$B$13:$D$15,2,3)*INDEX(Datos!$B$3:$K$12,($A51+1)+0,(E$43+1)+1)+INDEX(Kernels!$B$13:$D$15,3,1)*INDEX(Datos!$B$3:$K$12,($A51+1)+1,(E$43+1)+-1)+INDEX(Kernels!$B$13:$D$15,3,2)*INDEX(Datos!$B$3:$K$12,($A51+1)+1,(E$43+1)+0)+INDEX(Kernels!$B$13:$D$15,3,3)*INDEX(Datos!$B$3:$K$12,($A51+1)+1,(E$43+1)+1)),"")</f>
        <v>113</v>
      </c>
      <c r="F51" s="9">
        <f>IF(AND($A51&gt;=1,$A51&lt;=8,F$43&gt;=1,F$43&lt;=8),ABS(INDEX(Kernels!$B$13:$D$15,1,1)*INDEX(Datos!$B$3:$K$12,($A51+1)+-1,(F$43+1)+-1)+INDEX(Kernels!$B$13:$D$15,1,2)*INDEX(Datos!$B$3:$K$12,($A51+1)+-1,(F$43+1)+0)+INDEX(Kernels!$B$13:$D$15,1,3)*INDEX(Datos!$B$3:$K$12,($A51+1)+-1,(F$43+1)+1)+INDEX(Kernels!$B$13:$D$15,2,1)*INDEX(Datos!$B$3:$K$12,($A51+1)+0,(F$43+1)+-1)+INDEX(Kernels!$B$13:$D$15,2,2)*INDEX(Datos!$B$3:$K$12,($A51+1)+0,(F$43+1)+0)+INDEX(Kernels!$B$13:$D$15,2,3)*INDEX(Datos!$B$3:$K$12,($A51+1)+0,(F$43+1)+1)+INDEX(Kernels!$B$13:$D$15,3,1)*INDEX(Datos!$B$3:$K$12,($A51+1)+1,(F$43+1)+-1)+INDEX(Kernels!$B$13:$D$15,3,2)*INDEX(Datos!$B$3:$K$12,($A51+1)+1,(F$43+1)+0)+INDEX(Kernels!$B$13:$D$15,3,3)*INDEX(Datos!$B$3:$K$12,($A51+1)+1,(F$43+1)+1)),"")</f>
        <v>64</v>
      </c>
      <c r="G51" s="9">
        <f>IF(AND($A51&gt;=1,$A51&lt;=8,G$43&gt;=1,G$43&lt;=8),ABS(INDEX(Kernels!$B$13:$D$15,1,1)*INDEX(Datos!$B$3:$K$12,($A51+1)+-1,(G$43+1)+-1)+INDEX(Kernels!$B$13:$D$15,1,2)*INDEX(Datos!$B$3:$K$12,($A51+1)+-1,(G$43+1)+0)+INDEX(Kernels!$B$13:$D$15,1,3)*INDEX(Datos!$B$3:$K$12,($A51+1)+-1,(G$43+1)+1)+INDEX(Kernels!$B$13:$D$15,2,1)*INDEX(Datos!$B$3:$K$12,($A51+1)+0,(G$43+1)+-1)+INDEX(Kernels!$B$13:$D$15,2,2)*INDEX(Datos!$B$3:$K$12,($A51+1)+0,(G$43+1)+0)+INDEX(Kernels!$B$13:$D$15,2,3)*INDEX(Datos!$B$3:$K$12,($A51+1)+0,(G$43+1)+1)+INDEX(Kernels!$B$13:$D$15,3,1)*INDEX(Datos!$B$3:$K$12,($A51+1)+1,(G$43+1)+-1)+INDEX(Kernels!$B$13:$D$15,3,2)*INDEX(Datos!$B$3:$K$12,($A51+1)+1,(G$43+1)+0)+INDEX(Kernels!$B$13:$D$15,3,3)*INDEX(Datos!$B$3:$K$12,($A51+1)+1,(G$43+1)+1)),"")</f>
        <v>20</v>
      </c>
      <c r="H51" s="9">
        <f>IF(AND($A51&gt;=1,$A51&lt;=8,H$43&gt;=1,H$43&lt;=8),ABS(INDEX(Kernels!$B$13:$D$15,1,1)*INDEX(Datos!$B$3:$K$12,($A51+1)+-1,(H$43+1)+-1)+INDEX(Kernels!$B$13:$D$15,1,2)*INDEX(Datos!$B$3:$K$12,($A51+1)+-1,(H$43+1)+0)+INDEX(Kernels!$B$13:$D$15,1,3)*INDEX(Datos!$B$3:$K$12,($A51+1)+-1,(H$43+1)+1)+INDEX(Kernels!$B$13:$D$15,2,1)*INDEX(Datos!$B$3:$K$12,($A51+1)+0,(H$43+1)+-1)+INDEX(Kernels!$B$13:$D$15,2,2)*INDEX(Datos!$B$3:$K$12,($A51+1)+0,(H$43+1)+0)+INDEX(Kernels!$B$13:$D$15,2,3)*INDEX(Datos!$B$3:$K$12,($A51+1)+0,(H$43+1)+1)+INDEX(Kernels!$B$13:$D$15,3,1)*INDEX(Datos!$B$3:$K$12,($A51+1)+1,(H$43+1)+-1)+INDEX(Kernels!$B$13:$D$15,3,2)*INDEX(Datos!$B$3:$K$12,($A51+1)+1,(H$43+1)+0)+INDEX(Kernels!$B$13:$D$15,3,3)*INDEX(Datos!$B$3:$K$12,($A51+1)+1,(H$43+1)+1)),"")</f>
        <v>81</v>
      </c>
      <c r="I51" s="9">
        <f>IF(AND($A51&gt;=1,$A51&lt;=8,I$43&gt;=1,I$43&lt;=8),ABS(INDEX(Kernels!$B$13:$D$15,1,1)*INDEX(Datos!$B$3:$K$12,($A51+1)+-1,(I$43+1)+-1)+INDEX(Kernels!$B$13:$D$15,1,2)*INDEX(Datos!$B$3:$K$12,($A51+1)+-1,(I$43+1)+0)+INDEX(Kernels!$B$13:$D$15,1,3)*INDEX(Datos!$B$3:$K$12,($A51+1)+-1,(I$43+1)+1)+INDEX(Kernels!$B$13:$D$15,2,1)*INDEX(Datos!$B$3:$K$12,($A51+1)+0,(I$43+1)+-1)+INDEX(Kernels!$B$13:$D$15,2,2)*INDEX(Datos!$B$3:$K$12,($A51+1)+0,(I$43+1)+0)+INDEX(Kernels!$B$13:$D$15,2,3)*INDEX(Datos!$B$3:$K$12,($A51+1)+0,(I$43+1)+1)+INDEX(Kernels!$B$13:$D$15,3,1)*INDEX(Datos!$B$3:$K$12,($A51+1)+1,(I$43+1)+-1)+INDEX(Kernels!$B$13:$D$15,3,2)*INDEX(Datos!$B$3:$K$12,($A51+1)+1,(I$43+1)+0)+INDEX(Kernels!$B$13:$D$15,3,3)*INDEX(Datos!$B$3:$K$12,($A51+1)+1,(I$43+1)+1)),"")</f>
        <v>128</v>
      </c>
      <c r="J51" s="9">
        <f>IF(AND($A51&gt;=1,$A51&lt;=8,J$43&gt;=1,J$43&lt;=8),ABS(INDEX(Kernels!$B$13:$D$15,1,1)*INDEX(Datos!$B$3:$K$12,($A51+1)+-1,(J$43+1)+-1)+INDEX(Kernels!$B$13:$D$15,1,2)*INDEX(Datos!$B$3:$K$12,($A51+1)+-1,(J$43+1)+0)+INDEX(Kernels!$B$13:$D$15,1,3)*INDEX(Datos!$B$3:$K$12,($A51+1)+-1,(J$43+1)+1)+INDEX(Kernels!$B$13:$D$15,2,1)*INDEX(Datos!$B$3:$K$12,($A51+1)+0,(J$43+1)+-1)+INDEX(Kernels!$B$13:$D$15,2,2)*INDEX(Datos!$B$3:$K$12,($A51+1)+0,(J$43+1)+0)+INDEX(Kernels!$B$13:$D$15,2,3)*INDEX(Datos!$B$3:$K$12,($A51+1)+0,(J$43+1)+1)+INDEX(Kernels!$B$13:$D$15,3,1)*INDEX(Datos!$B$3:$K$12,($A51+1)+1,(J$43+1)+-1)+INDEX(Kernels!$B$13:$D$15,3,2)*INDEX(Datos!$B$3:$K$12,($A51+1)+1,(J$43+1)+0)+INDEX(Kernels!$B$13:$D$15,3,3)*INDEX(Datos!$B$3:$K$12,($A51+1)+1,(J$43+1)+1)),"")</f>
        <v>117</v>
      </c>
      <c r="K51" s="9" t="str">
        <f>IF(AND($A51&gt;=1,$A51&lt;=8,K$43&gt;=1,K$43&lt;=8),ABS(INDEX(Kernels!$B$13:$D$15,1,1)*INDEX(Datos!$B$3:$K$12,($A51+1)+-1,(K$43+1)+-1)+INDEX(Kernels!$B$13:$D$15,1,2)*INDEX(Datos!$B$3:$K$12,($A51+1)+-1,(K$43+1)+0)+INDEX(Kernels!$B$13:$D$15,1,3)*INDEX(Datos!$B$3:$K$12,($A51+1)+-1,(K$43+1)+1)+INDEX(Kernels!$B$13:$D$15,2,1)*INDEX(Datos!$B$3:$K$12,($A51+1)+0,(K$43+1)+-1)+INDEX(Kernels!$B$13:$D$15,2,2)*INDEX(Datos!$B$3:$K$12,($A51+1)+0,(K$43+1)+0)+INDEX(Kernels!$B$13:$D$15,2,3)*INDEX(Datos!$B$3:$K$12,($A51+1)+0,(K$43+1)+1)+INDEX(Kernels!$B$13:$D$15,3,1)*INDEX(Datos!$B$3:$K$12,($A51+1)+1,(K$43+1)+-1)+INDEX(Kernels!$B$13:$D$15,3,2)*INDEX(Datos!$B$3:$K$12,($A51+1)+1,(K$43+1)+0)+INDEX(Kernels!$B$13:$D$15,3,3)*INDEX(Datos!$B$3:$K$12,($A51+1)+1,(K$43+1)+1)),"")</f>
        <v/>
      </c>
    </row>
    <row r="52" spans="1:11" ht="24" customHeight="1" x14ac:dyDescent="0.2">
      <c r="A52" s="10">
        <v>8</v>
      </c>
      <c r="B52" s="9" t="str">
        <f>IF(AND($A52&gt;=1,$A52&lt;=8,B$43&gt;=1,B$43&lt;=8),ABS(INDEX(Kernels!$B$13:$D$15,1,1)*INDEX(Datos!$B$3:$K$12,($A52+1)+-1,(B$43+1)+-1)+INDEX(Kernels!$B$13:$D$15,1,2)*INDEX(Datos!$B$3:$K$12,($A52+1)+-1,(B$43+1)+0)+INDEX(Kernels!$B$13:$D$15,1,3)*INDEX(Datos!$B$3:$K$12,($A52+1)+-1,(B$43+1)+1)+INDEX(Kernels!$B$13:$D$15,2,1)*INDEX(Datos!$B$3:$K$12,($A52+1)+0,(B$43+1)+-1)+INDEX(Kernels!$B$13:$D$15,2,2)*INDEX(Datos!$B$3:$K$12,($A52+1)+0,(B$43+1)+0)+INDEX(Kernels!$B$13:$D$15,2,3)*INDEX(Datos!$B$3:$K$12,($A52+1)+0,(B$43+1)+1)+INDEX(Kernels!$B$13:$D$15,3,1)*INDEX(Datos!$B$3:$K$12,($A52+1)+1,(B$43+1)+-1)+INDEX(Kernels!$B$13:$D$15,3,2)*INDEX(Datos!$B$3:$K$12,($A52+1)+1,(B$43+1)+0)+INDEX(Kernels!$B$13:$D$15,3,3)*INDEX(Datos!$B$3:$K$12,($A52+1)+1,(B$43+1)+1)),"")</f>
        <v/>
      </c>
      <c r="C52" s="9">
        <f>IF(AND($A52&gt;=1,$A52&lt;=8,C$43&gt;=1,C$43&lt;=8),ABS(INDEX(Kernels!$B$13:$D$15,1,1)*INDEX(Datos!$B$3:$K$12,($A52+1)+-1,(C$43+1)+-1)+INDEX(Kernels!$B$13:$D$15,1,2)*INDEX(Datos!$B$3:$K$12,($A52+1)+-1,(C$43+1)+0)+INDEX(Kernels!$B$13:$D$15,1,3)*INDEX(Datos!$B$3:$K$12,($A52+1)+-1,(C$43+1)+1)+INDEX(Kernels!$B$13:$D$15,2,1)*INDEX(Datos!$B$3:$K$12,($A52+1)+0,(C$43+1)+-1)+INDEX(Kernels!$B$13:$D$15,2,2)*INDEX(Datos!$B$3:$K$12,($A52+1)+0,(C$43+1)+0)+INDEX(Kernels!$B$13:$D$15,2,3)*INDEX(Datos!$B$3:$K$12,($A52+1)+0,(C$43+1)+1)+INDEX(Kernels!$B$13:$D$15,3,1)*INDEX(Datos!$B$3:$K$12,($A52+1)+1,(C$43+1)+-1)+INDEX(Kernels!$B$13:$D$15,3,2)*INDEX(Datos!$B$3:$K$12,($A52+1)+1,(C$43+1)+0)+INDEX(Kernels!$B$13:$D$15,3,3)*INDEX(Datos!$B$3:$K$12,($A52+1)+1,(C$43+1)+1)),"")</f>
        <v>67</v>
      </c>
      <c r="D52" s="9">
        <f>IF(AND($A52&gt;=1,$A52&lt;=8,D$43&gt;=1,D$43&lt;=8),ABS(INDEX(Kernels!$B$13:$D$15,1,1)*INDEX(Datos!$B$3:$K$12,($A52+1)+-1,(D$43+1)+-1)+INDEX(Kernels!$B$13:$D$15,1,2)*INDEX(Datos!$B$3:$K$12,($A52+1)+-1,(D$43+1)+0)+INDEX(Kernels!$B$13:$D$15,1,3)*INDEX(Datos!$B$3:$K$12,($A52+1)+-1,(D$43+1)+1)+INDEX(Kernels!$B$13:$D$15,2,1)*INDEX(Datos!$B$3:$K$12,($A52+1)+0,(D$43+1)+-1)+INDEX(Kernels!$B$13:$D$15,2,2)*INDEX(Datos!$B$3:$K$12,($A52+1)+0,(D$43+1)+0)+INDEX(Kernels!$B$13:$D$15,2,3)*INDEX(Datos!$B$3:$K$12,($A52+1)+0,(D$43+1)+1)+INDEX(Kernels!$B$13:$D$15,3,1)*INDEX(Datos!$B$3:$K$12,($A52+1)+1,(D$43+1)+-1)+INDEX(Kernels!$B$13:$D$15,3,2)*INDEX(Datos!$B$3:$K$12,($A52+1)+1,(D$43+1)+0)+INDEX(Kernels!$B$13:$D$15,3,3)*INDEX(Datos!$B$3:$K$12,($A52+1)+1,(D$43+1)+1)),"")</f>
        <v>25</v>
      </c>
      <c r="E52" s="9">
        <f>IF(AND($A52&gt;=1,$A52&lt;=8,E$43&gt;=1,E$43&lt;=8),ABS(INDEX(Kernels!$B$13:$D$15,1,1)*INDEX(Datos!$B$3:$K$12,($A52+1)+-1,(E$43+1)+-1)+INDEX(Kernels!$B$13:$D$15,1,2)*INDEX(Datos!$B$3:$K$12,($A52+1)+-1,(E$43+1)+0)+INDEX(Kernels!$B$13:$D$15,1,3)*INDEX(Datos!$B$3:$K$12,($A52+1)+-1,(E$43+1)+1)+INDEX(Kernels!$B$13:$D$15,2,1)*INDEX(Datos!$B$3:$K$12,($A52+1)+0,(E$43+1)+-1)+INDEX(Kernels!$B$13:$D$15,2,2)*INDEX(Datos!$B$3:$K$12,($A52+1)+0,(E$43+1)+0)+INDEX(Kernels!$B$13:$D$15,2,3)*INDEX(Datos!$B$3:$K$12,($A52+1)+0,(E$43+1)+1)+INDEX(Kernels!$B$13:$D$15,3,1)*INDEX(Datos!$B$3:$K$12,($A52+1)+1,(E$43+1)+-1)+INDEX(Kernels!$B$13:$D$15,3,2)*INDEX(Datos!$B$3:$K$12,($A52+1)+1,(E$43+1)+0)+INDEX(Kernels!$B$13:$D$15,3,3)*INDEX(Datos!$B$3:$K$12,($A52+1)+1,(E$43+1)+1)),"")</f>
        <v>77</v>
      </c>
      <c r="F52" s="9">
        <f>IF(AND($A52&gt;=1,$A52&lt;=8,F$43&gt;=1,F$43&lt;=8),ABS(INDEX(Kernels!$B$13:$D$15,1,1)*INDEX(Datos!$B$3:$K$12,($A52+1)+-1,(F$43+1)+-1)+INDEX(Kernels!$B$13:$D$15,1,2)*INDEX(Datos!$B$3:$K$12,($A52+1)+-1,(F$43+1)+0)+INDEX(Kernels!$B$13:$D$15,1,3)*INDEX(Datos!$B$3:$K$12,($A52+1)+-1,(F$43+1)+1)+INDEX(Kernels!$B$13:$D$15,2,1)*INDEX(Datos!$B$3:$K$12,($A52+1)+0,(F$43+1)+-1)+INDEX(Kernels!$B$13:$D$15,2,2)*INDEX(Datos!$B$3:$K$12,($A52+1)+0,(F$43+1)+0)+INDEX(Kernels!$B$13:$D$15,2,3)*INDEX(Datos!$B$3:$K$12,($A52+1)+0,(F$43+1)+1)+INDEX(Kernels!$B$13:$D$15,3,1)*INDEX(Datos!$B$3:$K$12,($A52+1)+1,(F$43+1)+-1)+INDEX(Kernels!$B$13:$D$15,3,2)*INDEX(Datos!$B$3:$K$12,($A52+1)+1,(F$43+1)+0)+INDEX(Kernels!$B$13:$D$15,3,3)*INDEX(Datos!$B$3:$K$12,($A52+1)+1,(F$43+1)+1)),"")</f>
        <v>63</v>
      </c>
      <c r="G52" s="9">
        <f>IF(AND($A52&gt;=1,$A52&lt;=8,G$43&gt;=1,G$43&lt;=8),ABS(INDEX(Kernels!$B$13:$D$15,1,1)*INDEX(Datos!$B$3:$K$12,($A52+1)+-1,(G$43+1)+-1)+INDEX(Kernels!$B$13:$D$15,1,2)*INDEX(Datos!$B$3:$K$12,($A52+1)+-1,(G$43+1)+0)+INDEX(Kernels!$B$13:$D$15,1,3)*INDEX(Datos!$B$3:$K$12,($A52+1)+-1,(G$43+1)+1)+INDEX(Kernels!$B$13:$D$15,2,1)*INDEX(Datos!$B$3:$K$12,($A52+1)+0,(G$43+1)+-1)+INDEX(Kernels!$B$13:$D$15,2,2)*INDEX(Datos!$B$3:$K$12,($A52+1)+0,(G$43+1)+0)+INDEX(Kernels!$B$13:$D$15,2,3)*INDEX(Datos!$B$3:$K$12,($A52+1)+0,(G$43+1)+1)+INDEX(Kernels!$B$13:$D$15,3,1)*INDEX(Datos!$B$3:$K$12,($A52+1)+1,(G$43+1)+-1)+INDEX(Kernels!$B$13:$D$15,3,2)*INDEX(Datos!$B$3:$K$12,($A52+1)+1,(G$43+1)+0)+INDEX(Kernels!$B$13:$D$15,3,3)*INDEX(Datos!$B$3:$K$12,($A52+1)+1,(G$43+1)+1)),"")</f>
        <v>21</v>
      </c>
      <c r="H52" s="9">
        <f>IF(AND($A52&gt;=1,$A52&lt;=8,H$43&gt;=1,H$43&lt;=8),ABS(INDEX(Kernels!$B$13:$D$15,1,1)*INDEX(Datos!$B$3:$K$12,($A52+1)+-1,(H$43+1)+-1)+INDEX(Kernels!$B$13:$D$15,1,2)*INDEX(Datos!$B$3:$K$12,($A52+1)+-1,(H$43+1)+0)+INDEX(Kernels!$B$13:$D$15,1,3)*INDEX(Datos!$B$3:$K$12,($A52+1)+-1,(H$43+1)+1)+INDEX(Kernels!$B$13:$D$15,2,1)*INDEX(Datos!$B$3:$K$12,($A52+1)+0,(H$43+1)+-1)+INDEX(Kernels!$B$13:$D$15,2,2)*INDEX(Datos!$B$3:$K$12,($A52+1)+0,(H$43+1)+0)+INDEX(Kernels!$B$13:$D$15,2,3)*INDEX(Datos!$B$3:$K$12,($A52+1)+0,(H$43+1)+1)+INDEX(Kernels!$B$13:$D$15,3,1)*INDEX(Datos!$B$3:$K$12,($A52+1)+1,(H$43+1)+-1)+INDEX(Kernels!$B$13:$D$15,3,2)*INDEX(Datos!$B$3:$K$12,($A52+1)+1,(H$43+1)+0)+INDEX(Kernels!$B$13:$D$15,3,3)*INDEX(Datos!$B$3:$K$12,($A52+1)+1,(H$43+1)+1)),"")</f>
        <v>202</v>
      </c>
      <c r="I52" s="9">
        <f>IF(AND($A52&gt;=1,$A52&lt;=8,I$43&gt;=1,I$43&lt;=8),ABS(INDEX(Kernels!$B$13:$D$15,1,1)*INDEX(Datos!$B$3:$K$12,($A52+1)+-1,(I$43+1)+-1)+INDEX(Kernels!$B$13:$D$15,1,2)*INDEX(Datos!$B$3:$K$12,($A52+1)+-1,(I$43+1)+0)+INDEX(Kernels!$B$13:$D$15,1,3)*INDEX(Datos!$B$3:$K$12,($A52+1)+-1,(I$43+1)+1)+INDEX(Kernels!$B$13:$D$15,2,1)*INDEX(Datos!$B$3:$K$12,($A52+1)+0,(I$43+1)+-1)+INDEX(Kernels!$B$13:$D$15,2,2)*INDEX(Datos!$B$3:$K$12,($A52+1)+0,(I$43+1)+0)+INDEX(Kernels!$B$13:$D$15,2,3)*INDEX(Datos!$B$3:$K$12,($A52+1)+0,(I$43+1)+1)+INDEX(Kernels!$B$13:$D$15,3,1)*INDEX(Datos!$B$3:$K$12,($A52+1)+1,(I$43+1)+-1)+INDEX(Kernels!$B$13:$D$15,3,2)*INDEX(Datos!$B$3:$K$12,($A52+1)+1,(I$43+1)+0)+INDEX(Kernels!$B$13:$D$15,3,3)*INDEX(Datos!$B$3:$K$12,($A52+1)+1,(I$43+1)+1)),"")</f>
        <v>116</v>
      </c>
      <c r="J52" s="9">
        <f>IF(AND($A52&gt;=1,$A52&lt;=8,J$43&gt;=1,J$43&lt;=8),ABS(INDEX(Kernels!$B$13:$D$15,1,1)*INDEX(Datos!$B$3:$K$12,($A52+1)+-1,(J$43+1)+-1)+INDEX(Kernels!$B$13:$D$15,1,2)*INDEX(Datos!$B$3:$K$12,($A52+1)+-1,(J$43+1)+0)+INDEX(Kernels!$B$13:$D$15,1,3)*INDEX(Datos!$B$3:$K$12,($A52+1)+-1,(J$43+1)+1)+INDEX(Kernels!$B$13:$D$15,2,1)*INDEX(Datos!$B$3:$K$12,($A52+1)+0,(J$43+1)+-1)+INDEX(Kernels!$B$13:$D$15,2,2)*INDEX(Datos!$B$3:$K$12,($A52+1)+0,(J$43+1)+0)+INDEX(Kernels!$B$13:$D$15,2,3)*INDEX(Datos!$B$3:$K$12,($A52+1)+0,(J$43+1)+1)+INDEX(Kernels!$B$13:$D$15,3,1)*INDEX(Datos!$B$3:$K$12,($A52+1)+1,(J$43+1)+-1)+INDEX(Kernels!$B$13:$D$15,3,2)*INDEX(Datos!$B$3:$K$12,($A52+1)+1,(J$43+1)+0)+INDEX(Kernels!$B$13:$D$15,3,3)*INDEX(Datos!$B$3:$K$12,($A52+1)+1,(J$43+1)+1)),"")</f>
        <v>219</v>
      </c>
      <c r="K52" s="9" t="str">
        <f>IF(AND($A52&gt;=1,$A52&lt;=8,K$43&gt;=1,K$43&lt;=8),ABS(INDEX(Kernels!$B$13:$D$15,1,1)*INDEX(Datos!$B$3:$K$12,($A52+1)+-1,(K$43+1)+-1)+INDEX(Kernels!$B$13:$D$15,1,2)*INDEX(Datos!$B$3:$K$12,($A52+1)+-1,(K$43+1)+0)+INDEX(Kernels!$B$13:$D$15,1,3)*INDEX(Datos!$B$3:$K$12,($A52+1)+-1,(K$43+1)+1)+INDEX(Kernels!$B$13:$D$15,2,1)*INDEX(Datos!$B$3:$K$12,($A52+1)+0,(K$43+1)+-1)+INDEX(Kernels!$B$13:$D$15,2,2)*INDEX(Datos!$B$3:$K$12,($A52+1)+0,(K$43+1)+0)+INDEX(Kernels!$B$13:$D$15,2,3)*INDEX(Datos!$B$3:$K$12,($A52+1)+0,(K$43+1)+1)+INDEX(Kernels!$B$13:$D$15,3,1)*INDEX(Datos!$B$3:$K$12,($A52+1)+1,(K$43+1)+-1)+INDEX(Kernels!$B$13:$D$15,3,2)*INDEX(Datos!$B$3:$K$12,($A52+1)+1,(K$43+1)+0)+INDEX(Kernels!$B$13:$D$15,3,3)*INDEX(Datos!$B$3:$K$12,($A52+1)+1,(K$43+1)+1)),"")</f>
        <v/>
      </c>
    </row>
    <row r="53" spans="1:11" ht="24" customHeight="1" x14ac:dyDescent="0.2">
      <c r="A53" s="10">
        <v>9</v>
      </c>
      <c r="B53" s="9" t="str">
        <f>IF(AND($A53&gt;=1,$A53&lt;=8,B$43&gt;=1,B$43&lt;=8),ABS(INDEX(Kernels!$B$13:$D$15,1,1)*INDEX(Datos!$B$3:$K$12,($A53+1)+-1,(B$43+1)+-1)+INDEX(Kernels!$B$13:$D$15,1,2)*INDEX(Datos!$B$3:$K$12,($A53+1)+-1,(B$43+1)+0)+INDEX(Kernels!$B$13:$D$15,1,3)*INDEX(Datos!$B$3:$K$12,($A53+1)+-1,(B$43+1)+1)+INDEX(Kernels!$B$13:$D$15,2,1)*INDEX(Datos!$B$3:$K$12,($A53+1)+0,(B$43+1)+-1)+INDEX(Kernels!$B$13:$D$15,2,2)*INDEX(Datos!$B$3:$K$12,($A53+1)+0,(B$43+1)+0)+INDEX(Kernels!$B$13:$D$15,2,3)*INDEX(Datos!$B$3:$K$12,($A53+1)+0,(B$43+1)+1)+INDEX(Kernels!$B$13:$D$15,3,1)*INDEX(Datos!$B$3:$K$12,($A53+1)+1,(B$43+1)+-1)+INDEX(Kernels!$B$13:$D$15,3,2)*INDEX(Datos!$B$3:$K$12,($A53+1)+1,(B$43+1)+0)+INDEX(Kernels!$B$13:$D$15,3,3)*INDEX(Datos!$B$3:$K$12,($A53+1)+1,(B$43+1)+1)),"")</f>
        <v/>
      </c>
      <c r="C53" s="9" t="str">
        <f>IF(AND($A53&gt;=1,$A53&lt;=8,C$43&gt;=1,C$43&lt;=8),ABS(INDEX(Kernels!$B$13:$D$15,1,1)*INDEX(Datos!$B$3:$K$12,($A53+1)+-1,(C$43+1)+-1)+INDEX(Kernels!$B$13:$D$15,1,2)*INDEX(Datos!$B$3:$K$12,($A53+1)+-1,(C$43+1)+0)+INDEX(Kernels!$B$13:$D$15,1,3)*INDEX(Datos!$B$3:$K$12,($A53+1)+-1,(C$43+1)+1)+INDEX(Kernels!$B$13:$D$15,2,1)*INDEX(Datos!$B$3:$K$12,($A53+1)+0,(C$43+1)+-1)+INDEX(Kernels!$B$13:$D$15,2,2)*INDEX(Datos!$B$3:$K$12,($A53+1)+0,(C$43+1)+0)+INDEX(Kernels!$B$13:$D$15,2,3)*INDEX(Datos!$B$3:$K$12,($A53+1)+0,(C$43+1)+1)+INDEX(Kernels!$B$13:$D$15,3,1)*INDEX(Datos!$B$3:$K$12,($A53+1)+1,(C$43+1)+-1)+INDEX(Kernels!$B$13:$D$15,3,2)*INDEX(Datos!$B$3:$K$12,($A53+1)+1,(C$43+1)+0)+INDEX(Kernels!$B$13:$D$15,3,3)*INDEX(Datos!$B$3:$K$12,($A53+1)+1,(C$43+1)+1)),"")</f>
        <v/>
      </c>
      <c r="D53" s="9" t="str">
        <f>IF(AND($A53&gt;=1,$A53&lt;=8,D$43&gt;=1,D$43&lt;=8),ABS(INDEX(Kernels!$B$13:$D$15,1,1)*INDEX(Datos!$B$3:$K$12,($A53+1)+-1,(D$43+1)+-1)+INDEX(Kernels!$B$13:$D$15,1,2)*INDEX(Datos!$B$3:$K$12,($A53+1)+-1,(D$43+1)+0)+INDEX(Kernels!$B$13:$D$15,1,3)*INDEX(Datos!$B$3:$K$12,($A53+1)+-1,(D$43+1)+1)+INDEX(Kernels!$B$13:$D$15,2,1)*INDEX(Datos!$B$3:$K$12,($A53+1)+0,(D$43+1)+-1)+INDEX(Kernels!$B$13:$D$15,2,2)*INDEX(Datos!$B$3:$K$12,($A53+1)+0,(D$43+1)+0)+INDEX(Kernels!$B$13:$D$15,2,3)*INDEX(Datos!$B$3:$K$12,($A53+1)+0,(D$43+1)+1)+INDEX(Kernels!$B$13:$D$15,3,1)*INDEX(Datos!$B$3:$K$12,($A53+1)+1,(D$43+1)+-1)+INDEX(Kernels!$B$13:$D$15,3,2)*INDEX(Datos!$B$3:$K$12,($A53+1)+1,(D$43+1)+0)+INDEX(Kernels!$B$13:$D$15,3,3)*INDEX(Datos!$B$3:$K$12,($A53+1)+1,(D$43+1)+1)),"")</f>
        <v/>
      </c>
      <c r="E53" s="9" t="str">
        <f>IF(AND($A53&gt;=1,$A53&lt;=8,E$43&gt;=1,E$43&lt;=8),ABS(INDEX(Kernels!$B$13:$D$15,1,1)*INDEX(Datos!$B$3:$K$12,($A53+1)+-1,(E$43+1)+-1)+INDEX(Kernels!$B$13:$D$15,1,2)*INDEX(Datos!$B$3:$K$12,($A53+1)+-1,(E$43+1)+0)+INDEX(Kernels!$B$13:$D$15,1,3)*INDEX(Datos!$B$3:$K$12,($A53+1)+-1,(E$43+1)+1)+INDEX(Kernels!$B$13:$D$15,2,1)*INDEX(Datos!$B$3:$K$12,($A53+1)+0,(E$43+1)+-1)+INDEX(Kernels!$B$13:$D$15,2,2)*INDEX(Datos!$B$3:$K$12,($A53+1)+0,(E$43+1)+0)+INDEX(Kernels!$B$13:$D$15,2,3)*INDEX(Datos!$B$3:$K$12,($A53+1)+0,(E$43+1)+1)+INDEX(Kernels!$B$13:$D$15,3,1)*INDEX(Datos!$B$3:$K$12,($A53+1)+1,(E$43+1)+-1)+INDEX(Kernels!$B$13:$D$15,3,2)*INDEX(Datos!$B$3:$K$12,($A53+1)+1,(E$43+1)+0)+INDEX(Kernels!$B$13:$D$15,3,3)*INDEX(Datos!$B$3:$K$12,($A53+1)+1,(E$43+1)+1)),"")</f>
        <v/>
      </c>
      <c r="F53" s="9" t="str">
        <f>IF(AND($A53&gt;=1,$A53&lt;=8,F$43&gt;=1,F$43&lt;=8),ABS(INDEX(Kernels!$B$13:$D$15,1,1)*INDEX(Datos!$B$3:$K$12,($A53+1)+-1,(F$43+1)+-1)+INDEX(Kernels!$B$13:$D$15,1,2)*INDEX(Datos!$B$3:$K$12,($A53+1)+-1,(F$43+1)+0)+INDEX(Kernels!$B$13:$D$15,1,3)*INDEX(Datos!$B$3:$K$12,($A53+1)+-1,(F$43+1)+1)+INDEX(Kernels!$B$13:$D$15,2,1)*INDEX(Datos!$B$3:$K$12,($A53+1)+0,(F$43+1)+-1)+INDEX(Kernels!$B$13:$D$15,2,2)*INDEX(Datos!$B$3:$K$12,($A53+1)+0,(F$43+1)+0)+INDEX(Kernels!$B$13:$D$15,2,3)*INDEX(Datos!$B$3:$K$12,($A53+1)+0,(F$43+1)+1)+INDEX(Kernels!$B$13:$D$15,3,1)*INDEX(Datos!$B$3:$K$12,($A53+1)+1,(F$43+1)+-1)+INDEX(Kernels!$B$13:$D$15,3,2)*INDEX(Datos!$B$3:$K$12,($A53+1)+1,(F$43+1)+0)+INDEX(Kernels!$B$13:$D$15,3,3)*INDEX(Datos!$B$3:$K$12,($A53+1)+1,(F$43+1)+1)),"")</f>
        <v/>
      </c>
      <c r="G53" s="9" t="str">
        <f>IF(AND($A53&gt;=1,$A53&lt;=8,G$43&gt;=1,G$43&lt;=8),ABS(INDEX(Kernels!$B$13:$D$15,1,1)*INDEX(Datos!$B$3:$K$12,($A53+1)+-1,(G$43+1)+-1)+INDEX(Kernels!$B$13:$D$15,1,2)*INDEX(Datos!$B$3:$K$12,($A53+1)+-1,(G$43+1)+0)+INDEX(Kernels!$B$13:$D$15,1,3)*INDEX(Datos!$B$3:$K$12,($A53+1)+-1,(G$43+1)+1)+INDEX(Kernels!$B$13:$D$15,2,1)*INDEX(Datos!$B$3:$K$12,($A53+1)+0,(G$43+1)+-1)+INDEX(Kernels!$B$13:$D$15,2,2)*INDEX(Datos!$B$3:$K$12,($A53+1)+0,(G$43+1)+0)+INDEX(Kernels!$B$13:$D$15,2,3)*INDEX(Datos!$B$3:$K$12,($A53+1)+0,(G$43+1)+1)+INDEX(Kernels!$B$13:$D$15,3,1)*INDEX(Datos!$B$3:$K$12,($A53+1)+1,(G$43+1)+-1)+INDEX(Kernels!$B$13:$D$15,3,2)*INDEX(Datos!$B$3:$K$12,($A53+1)+1,(G$43+1)+0)+INDEX(Kernels!$B$13:$D$15,3,3)*INDEX(Datos!$B$3:$K$12,($A53+1)+1,(G$43+1)+1)),"")</f>
        <v/>
      </c>
      <c r="H53" s="9" t="str">
        <f>IF(AND($A53&gt;=1,$A53&lt;=8,H$43&gt;=1,H$43&lt;=8),ABS(INDEX(Kernels!$B$13:$D$15,1,1)*INDEX(Datos!$B$3:$K$12,($A53+1)+-1,(H$43+1)+-1)+INDEX(Kernels!$B$13:$D$15,1,2)*INDEX(Datos!$B$3:$K$12,($A53+1)+-1,(H$43+1)+0)+INDEX(Kernels!$B$13:$D$15,1,3)*INDEX(Datos!$B$3:$K$12,($A53+1)+-1,(H$43+1)+1)+INDEX(Kernels!$B$13:$D$15,2,1)*INDEX(Datos!$B$3:$K$12,($A53+1)+0,(H$43+1)+-1)+INDEX(Kernels!$B$13:$D$15,2,2)*INDEX(Datos!$B$3:$K$12,($A53+1)+0,(H$43+1)+0)+INDEX(Kernels!$B$13:$D$15,2,3)*INDEX(Datos!$B$3:$K$12,($A53+1)+0,(H$43+1)+1)+INDEX(Kernels!$B$13:$D$15,3,1)*INDEX(Datos!$B$3:$K$12,($A53+1)+1,(H$43+1)+-1)+INDEX(Kernels!$B$13:$D$15,3,2)*INDEX(Datos!$B$3:$K$12,($A53+1)+1,(H$43+1)+0)+INDEX(Kernels!$B$13:$D$15,3,3)*INDEX(Datos!$B$3:$K$12,($A53+1)+1,(H$43+1)+1)),"")</f>
        <v/>
      </c>
      <c r="I53" s="9" t="str">
        <f>IF(AND($A53&gt;=1,$A53&lt;=8,I$43&gt;=1,I$43&lt;=8),ABS(INDEX(Kernels!$B$13:$D$15,1,1)*INDEX(Datos!$B$3:$K$12,($A53+1)+-1,(I$43+1)+-1)+INDEX(Kernels!$B$13:$D$15,1,2)*INDEX(Datos!$B$3:$K$12,($A53+1)+-1,(I$43+1)+0)+INDEX(Kernels!$B$13:$D$15,1,3)*INDEX(Datos!$B$3:$K$12,($A53+1)+-1,(I$43+1)+1)+INDEX(Kernels!$B$13:$D$15,2,1)*INDEX(Datos!$B$3:$K$12,($A53+1)+0,(I$43+1)+-1)+INDEX(Kernels!$B$13:$D$15,2,2)*INDEX(Datos!$B$3:$K$12,($A53+1)+0,(I$43+1)+0)+INDEX(Kernels!$B$13:$D$15,2,3)*INDEX(Datos!$B$3:$K$12,($A53+1)+0,(I$43+1)+1)+INDEX(Kernels!$B$13:$D$15,3,1)*INDEX(Datos!$B$3:$K$12,($A53+1)+1,(I$43+1)+-1)+INDEX(Kernels!$B$13:$D$15,3,2)*INDEX(Datos!$B$3:$K$12,($A53+1)+1,(I$43+1)+0)+INDEX(Kernels!$B$13:$D$15,3,3)*INDEX(Datos!$B$3:$K$12,($A53+1)+1,(I$43+1)+1)),"")</f>
        <v/>
      </c>
      <c r="J53" s="9" t="str">
        <f>IF(AND($A53&gt;=1,$A53&lt;=8,J$43&gt;=1,J$43&lt;=8),ABS(INDEX(Kernels!$B$13:$D$15,1,1)*INDEX(Datos!$B$3:$K$12,($A53+1)+-1,(J$43+1)+-1)+INDEX(Kernels!$B$13:$D$15,1,2)*INDEX(Datos!$B$3:$K$12,($A53+1)+-1,(J$43+1)+0)+INDEX(Kernels!$B$13:$D$15,1,3)*INDEX(Datos!$B$3:$K$12,($A53+1)+-1,(J$43+1)+1)+INDEX(Kernels!$B$13:$D$15,2,1)*INDEX(Datos!$B$3:$K$12,($A53+1)+0,(J$43+1)+-1)+INDEX(Kernels!$B$13:$D$15,2,2)*INDEX(Datos!$B$3:$K$12,($A53+1)+0,(J$43+1)+0)+INDEX(Kernels!$B$13:$D$15,2,3)*INDEX(Datos!$B$3:$K$12,($A53+1)+0,(J$43+1)+1)+INDEX(Kernels!$B$13:$D$15,3,1)*INDEX(Datos!$B$3:$K$12,($A53+1)+1,(J$43+1)+-1)+INDEX(Kernels!$B$13:$D$15,3,2)*INDEX(Datos!$B$3:$K$12,($A53+1)+1,(J$43+1)+0)+INDEX(Kernels!$B$13:$D$15,3,3)*INDEX(Datos!$B$3:$K$12,($A53+1)+1,(J$43+1)+1)),"")</f>
        <v/>
      </c>
      <c r="K53" s="9" t="str">
        <f>IF(AND($A53&gt;=1,$A53&lt;=8,K$43&gt;=1,K$43&lt;=8),ABS(INDEX(Kernels!$B$13:$D$15,1,1)*INDEX(Datos!$B$3:$K$12,($A53+1)+-1,(K$43+1)+-1)+INDEX(Kernels!$B$13:$D$15,1,2)*INDEX(Datos!$B$3:$K$12,($A53+1)+-1,(K$43+1)+0)+INDEX(Kernels!$B$13:$D$15,1,3)*INDEX(Datos!$B$3:$K$12,($A53+1)+-1,(K$43+1)+1)+INDEX(Kernels!$B$13:$D$15,2,1)*INDEX(Datos!$B$3:$K$12,($A53+1)+0,(K$43+1)+-1)+INDEX(Kernels!$B$13:$D$15,2,2)*INDEX(Datos!$B$3:$K$12,($A53+1)+0,(K$43+1)+0)+INDEX(Kernels!$B$13:$D$15,2,3)*INDEX(Datos!$B$3:$K$12,($A53+1)+0,(K$43+1)+1)+INDEX(Kernels!$B$13:$D$15,3,1)*INDEX(Datos!$B$3:$K$12,($A53+1)+1,(K$43+1)+-1)+INDEX(Kernels!$B$13:$D$15,3,2)*INDEX(Datos!$B$3:$K$12,($A53+1)+1,(K$43+1)+0)+INDEX(Kernels!$B$13:$D$15,3,3)*INDEX(Datos!$B$3:$K$12,($A53+1)+1,(K$43+1)+1)),"")</f>
        <v/>
      </c>
    </row>
    <row r="54" spans="1:11" ht="24" customHeight="1" x14ac:dyDescent="0.2"/>
    <row r="55" spans="1:11" ht="24" customHeight="1" x14ac:dyDescent="0.2"/>
    <row r="56" spans="1:11" ht="24" customHeight="1" x14ac:dyDescent="0.2">
      <c r="A56" s="16" t="s">
        <v>32</v>
      </c>
      <c r="B56" s="12"/>
      <c r="C56" s="12"/>
      <c r="D56" s="12"/>
      <c r="E56" s="12"/>
      <c r="F56" s="12"/>
      <c r="G56" s="12"/>
      <c r="H56" s="12"/>
      <c r="I56" s="12"/>
      <c r="J56" s="12"/>
      <c r="K56" s="12"/>
    </row>
    <row r="57" spans="1:11" ht="24" customHeight="1" x14ac:dyDescent="0.2">
      <c r="A57" s="10" t="s">
        <v>1</v>
      </c>
      <c r="B57" s="10">
        <v>0</v>
      </c>
      <c r="C57" s="10">
        <v>1</v>
      </c>
      <c r="D57" s="10">
        <v>2</v>
      </c>
      <c r="E57" s="10">
        <v>3</v>
      </c>
      <c r="F57" s="10">
        <v>4</v>
      </c>
      <c r="G57" s="10">
        <v>5</v>
      </c>
      <c r="H57" s="10">
        <v>6</v>
      </c>
      <c r="I57" s="10">
        <v>7</v>
      </c>
      <c r="J57" s="10">
        <v>8</v>
      </c>
      <c r="K57" s="10">
        <v>9</v>
      </c>
    </row>
    <row r="58" spans="1:11" ht="24" customHeight="1" x14ac:dyDescent="0.2">
      <c r="A58" s="10">
        <v>0</v>
      </c>
      <c r="B58" s="9" t="str">
        <f>IF(AND($A58&gt;=1,$A58&lt;=8,B$57&gt;=1,B$57&lt;=8),ABS(INDEX(Kernels!$G$13:$I$15,1,1)*INDEX(Datos!$B$3:$K$12,($A58+1)+-1,(B$57+1)+-1)+INDEX(Kernels!$G$13:$I$15,1,2)*INDEX(Datos!$B$3:$K$12,($A58+1)+-1,(B$57+1)+0)+INDEX(Kernels!$G$13:$I$15,1,3)*INDEX(Datos!$B$3:$K$12,($A58+1)+-1,(B$57+1)+1)+INDEX(Kernels!$G$13:$I$15,2,1)*INDEX(Datos!$B$3:$K$12,($A58+1)+0,(B$57+1)+-1)+INDEX(Kernels!$G$13:$I$15,2,2)*INDEX(Datos!$B$3:$K$12,($A58+1)+0,(B$57+1)+0)+INDEX(Kernels!$G$13:$I$15,2,3)*INDEX(Datos!$B$3:$K$12,($A58+1)+0,(B$57+1)+1)+INDEX(Kernels!$G$13:$I$15,3,1)*INDEX(Datos!$B$3:$K$12,($A58+1)+1,(B$57+1)+-1)+INDEX(Kernels!$G$13:$I$15,3,2)*INDEX(Datos!$B$3:$K$12,($A58+1)+1,(B$57+1)+0)+INDEX(Kernels!$G$13:$I$15,3,3)*INDEX(Datos!$B$3:$K$12,($A58+1)+1,(B$57+1)+1)),"")</f>
        <v/>
      </c>
      <c r="C58" s="9" t="str">
        <f>IF(AND($A58&gt;=1,$A58&lt;=8,C$57&gt;=1,C$57&lt;=8),ABS(INDEX(Kernels!$G$13:$I$15,1,1)*INDEX(Datos!$B$3:$K$12,($A58+1)+-1,(C$57+1)+-1)+INDEX(Kernels!$G$13:$I$15,1,2)*INDEX(Datos!$B$3:$K$12,($A58+1)+-1,(C$57+1)+0)+INDEX(Kernels!$G$13:$I$15,1,3)*INDEX(Datos!$B$3:$K$12,($A58+1)+-1,(C$57+1)+1)+INDEX(Kernels!$G$13:$I$15,2,1)*INDEX(Datos!$B$3:$K$12,($A58+1)+0,(C$57+1)+-1)+INDEX(Kernels!$G$13:$I$15,2,2)*INDEX(Datos!$B$3:$K$12,($A58+1)+0,(C$57+1)+0)+INDEX(Kernels!$G$13:$I$15,2,3)*INDEX(Datos!$B$3:$K$12,($A58+1)+0,(C$57+1)+1)+INDEX(Kernels!$G$13:$I$15,3,1)*INDEX(Datos!$B$3:$K$12,($A58+1)+1,(C$57+1)+-1)+INDEX(Kernels!$G$13:$I$15,3,2)*INDEX(Datos!$B$3:$K$12,($A58+1)+1,(C$57+1)+0)+INDEX(Kernels!$G$13:$I$15,3,3)*INDEX(Datos!$B$3:$K$12,($A58+1)+1,(C$57+1)+1)),"")</f>
        <v/>
      </c>
      <c r="D58" s="9" t="str">
        <f>IF(AND($A58&gt;=1,$A58&lt;=8,D$57&gt;=1,D$57&lt;=8),ABS(INDEX(Kernels!$G$13:$I$15,1,1)*INDEX(Datos!$B$3:$K$12,($A58+1)+-1,(D$57+1)+-1)+INDEX(Kernels!$G$13:$I$15,1,2)*INDEX(Datos!$B$3:$K$12,($A58+1)+-1,(D$57+1)+0)+INDEX(Kernels!$G$13:$I$15,1,3)*INDEX(Datos!$B$3:$K$12,($A58+1)+-1,(D$57+1)+1)+INDEX(Kernels!$G$13:$I$15,2,1)*INDEX(Datos!$B$3:$K$12,($A58+1)+0,(D$57+1)+-1)+INDEX(Kernels!$G$13:$I$15,2,2)*INDEX(Datos!$B$3:$K$12,($A58+1)+0,(D$57+1)+0)+INDEX(Kernels!$G$13:$I$15,2,3)*INDEX(Datos!$B$3:$K$12,($A58+1)+0,(D$57+1)+1)+INDEX(Kernels!$G$13:$I$15,3,1)*INDEX(Datos!$B$3:$K$12,($A58+1)+1,(D$57+1)+-1)+INDEX(Kernels!$G$13:$I$15,3,2)*INDEX(Datos!$B$3:$K$12,($A58+1)+1,(D$57+1)+0)+INDEX(Kernels!$G$13:$I$15,3,3)*INDEX(Datos!$B$3:$K$12,($A58+1)+1,(D$57+1)+1)),"")</f>
        <v/>
      </c>
      <c r="E58" s="9" t="str">
        <f>IF(AND($A58&gt;=1,$A58&lt;=8,E$57&gt;=1,E$57&lt;=8),ABS(INDEX(Kernels!$G$13:$I$15,1,1)*INDEX(Datos!$B$3:$K$12,($A58+1)+-1,(E$57+1)+-1)+INDEX(Kernels!$G$13:$I$15,1,2)*INDEX(Datos!$B$3:$K$12,($A58+1)+-1,(E$57+1)+0)+INDEX(Kernels!$G$13:$I$15,1,3)*INDEX(Datos!$B$3:$K$12,($A58+1)+-1,(E$57+1)+1)+INDEX(Kernels!$G$13:$I$15,2,1)*INDEX(Datos!$B$3:$K$12,($A58+1)+0,(E$57+1)+-1)+INDEX(Kernels!$G$13:$I$15,2,2)*INDEX(Datos!$B$3:$K$12,($A58+1)+0,(E$57+1)+0)+INDEX(Kernels!$G$13:$I$15,2,3)*INDEX(Datos!$B$3:$K$12,($A58+1)+0,(E$57+1)+1)+INDEX(Kernels!$G$13:$I$15,3,1)*INDEX(Datos!$B$3:$K$12,($A58+1)+1,(E$57+1)+-1)+INDEX(Kernels!$G$13:$I$15,3,2)*INDEX(Datos!$B$3:$K$12,($A58+1)+1,(E$57+1)+0)+INDEX(Kernels!$G$13:$I$15,3,3)*INDEX(Datos!$B$3:$K$12,($A58+1)+1,(E$57+1)+1)),"")</f>
        <v/>
      </c>
      <c r="F58" s="9" t="str">
        <f>IF(AND($A58&gt;=1,$A58&lt;=8,F$57&gt;=1,F$57&lt;=8),ABS(INDEX(Kernels!$G$13:$I$15,1,1)*INDEX(Datos!$B$3:$K$12,($A58+1)+-1,(F$57+1)+-1)+INDEX(Kernels!$G$13:$I$15,1,2)*INDEX(Datos!$B$3:$K$12,($A58+1)+-1,(F$57+1)+0)+INDEX(Kernels!$G$13:$I$15,1,3)*INDEX(Datos!$B$3:$K$12,($A58+1)+-1,(F$57+1)+1)+INDEX(Kernels!$G$13:$I$15,2,1)*INDEX(Datos!$B$3:$K$12,($A58+1)+0,(F$57+1)+-1)+INDEX(Kernels!$G$13:$I$15,2,2)*INDEX(Datos!$B$3:$K$12,($A58+1)+0,(F$57+1)+0)+INDEX(Kernels!$G$13:$I$15,2,3)*INDEX(Datos!$B$3:$K$12,($A58+1)+0,(F$57+1)+1)+INDEX(Kernels!$G$13:$I$15,3,1)*INDEX(Datos!$B$3:$K$12,($A58+1)+1,(F$57+1)+-1)+INDEX(Kernels!$G$13:$I$15,3,2)*INDEX(Datos!$B$3:$K$12,($A58+1)+1,(F$57+1)+0)+INDEX(Kernels!$G$13:$I$15,3,3)*INDEX(Datos!$B$3:$K$12,($A58+1)+1,(F$57+1)+1)),"")</f>
        <v/>
      </c>
      <c r="G58" s="9" t="str">
        <f>IF(AND($A58&gt;=1,$A58&lt;=8,G$57&gt;=1,G$57&lt;=8),ABS(INDEX(Kernels!$G$13:$I$15,1,1)*INDEX(Datos!$B$3:$K$12,($A58+1)+-1,(G$57+1)+-1)+INDEX(Kernels!$G$13:$I$15,1,2)*INDEX(Datos!$B$3:$K$12,($A58+1)+-1,(G$57+1)+0)+INDEX(Kernels!$G$13:$I$15,1,3)*INDEX(Datos!$B$3:$K$12,($A58+1)+-1,(G$57+1)+1)+INDEX(Kernels!$G$13:$I$15,2,1)*INDEX(Datos!$B$3:$K$12,($A58+1)+0,(G$57+1)+-1)+INDEX(Kernels!$G$13:$I$15,2,2)*INDEX(Datos!$B$3:$K$12,($A58+1)+0,(G$57+1)+0)+INDEX(Kernels!$G$13:$I$15,2,3)*INDEX(Datos!$B$3:$K$12,($A58+1)+0,(G$57+1)+1)+INDEX(Kernels!$G$13:$I$15,3,1)*INDEX(Datos!$B$3:$K$12,($A58+1)+1,(G$57+1)+-1)+INDEX(Kernels!$G$13:$I$15,3,2)*INDEX(Datos!$B$3:$K$12,($A58+1)+1,(G$57+1)+0)+INDEX(Kernels!$G$13:$I$15,3,3)*INDEX(Datos!$B$3:$K$12,($A58+1)+1,(G$57+1)+1)),"")</f>
        <v/>
      </c>
      <c r="H58" s="9" t="str">
        <f>IF(AND($A58&gt;=1,$A58&lt;=8,H$57&gt;=1,H$57&lt;=8),ABS(INDEX(Kernels!$G$13:$I$15,1,1)*INDEX(Datos!$B$3:$K$12,($A58+1)+-1,(H$57+1)+-1)+INDEX(Kernels!$G$13:$I$15,1,2)*INDEX(Datos!$B$3:$K$12,($A58+1)+-1,(H$57+1)+0)+INDEX(Kernels!$G$13:$I$15,1,3)*INDEX(Datos!$B$3:$K$12,($A58+1)+-1,(H$57+1)+1)+INDEX(Kernels!$G$13:$I$15,2,1)*INDEX(Datos!$B$3:$K$12,($A58+1)+0,(H$57+1)+-1)+INDEX(Kernels!$G$13:$I$15,2,2)*INDEX(Datos!$B$3:$K$12,($A58+1)+0,(H$57+1)+0)+INDEX(Kernels!$G$13:$I$15,2,3)*INDEX(Datos!$B$3:$K$12,($A58+1)+0,(H$57+1)+1)+INDEX(Kernels!$G$13:$I$15,3,1)*INDEX(Datos!$B$3:$K$12,($A58+1)+1,(H$57+1)+-1)+INDEX(Kernels!$G$13:$I$15,3,2)*INDEX(Datos!$B$3:$K$12,($A58+1)+1,(H$57+1)+0)+INDEX(Kernels!$G$13:$I$15,3,3)*INDEX(Datos!$B$3:$K$12,($A58+1)+1,(H$57+1)+1)),"")</f>
        <v/>
      </c>
      <c r="I58" s="9" t="str">
        <f>IF(AND($A58&gt;=1,$A58&lt;=8,I$57&gt;=1,I$57&lt;=8),ABS(INDEX(Kernels!$G$13:$I$15,1,1)*INDEX(Datos!$B$3:$K$12,($A58+1)+-1,(I$57+1)+-1)+INDEX(Kernels!$G$13:$I$15,1,2)*INDEX(Datos!$B$3:$K$12,($A58+1)+-1,(I$57+1)+0)+INDEX(Kernels!$G$13:$I$15,1,3)*INDEX(Datos!$B$3:$K$12,($A58+1)+-1,(I$57+1)+1)+INDEX(Kernels!$G$13:$I$15,2,1)*INDEX(Datos!$B$3:$K$12,($A58+1)+0,(I$57+1)+-1)+INDEX(Kernels!$G$13:$I$15,2,2)*INDEX(Datos!$B$3:$K$12,($A58+1)+0,(I$57+1)+0)+INDEX(Kernels!$G$13:$I$15,2,3)*INDEX(Datos!$B$3:$K$12,($A58+1)+0,(I$57+1)+1)+INDEX(Kernels!$G$13:$I$15,3,1)*INDEX(Datos!$B$3:$K$12,($A58+1)+1,(I$57+1)+-1)+INDEX(Kernels!$G$13:$I$15,3,2)*INDEX(Datos!$B$3:$K$12,($A58+1)+1,(I$57+1)+0)+INDEX(Kernels!$G$13:$I$15,3,3)*INDEX(Datos!$B$3:$K$12,($A58+1)+1,(I$57+1)+1)),"")</f>
        <v/>
      </c>
      <c r="J58" s="9" t="str">
        <f>IF(AND($A58&gt;=1,$A58&lt;=8,J$57&gt;=1,J$57&lt;=8),ABS(INDEX(Kernels!$G$13:$I$15,1,1)*INDEX(Datos!$B$3:$K$12,($A58+1)+-1,(J$57+1)+-1)+INDEX(Kernels!$G$13:$I$15,1,2)*INDEX(Datos!$B$3:$K$12,($A58+1)+-1,(J$57+1)+0)+INDEX(Kernels!$G$13:$I$15,1,3)*INDEX(Datos!$B$3:$K$12,($A58+1)+-1,(J$57+1)+1)+INDEX(Kernels!$G$13:$I$15,2,1)*INDEX(Datos!$B$3:$K$12,($A58+1)+0,(J$57+1)+-1)+INDEX(Kernels!$G$13:$I$15,2,2)*INDEX(Datos!$B$3:$K$12,($A58+1)+0,(J$57+1)+0)+INDEX(Kernels!$G$13:$I$15,2,3)*INDEX(Datos!$B$3:$K$12,($A58+1)+0,(J$57+1)+1)+INDEX(Kernels!$G$13:$I$15,3,1)*INDEX(Datos!$B$3:$K$12,($A58+1)+1,(J$57+1)+-1)+INDEX(Kernels!$G$13:$I$15,3,2)*INDEX(Datos!$B$3:$K$12,($A58+1)+1,(J$57+1)+0)+INDEX(Kernels!$G$13:$I$15,3,3)*INDEX(Datos!$B$3:$K$12,($A58+1)+1,(J$57+1)+1)),"")</f>
        <v/>
      </c>
      <c r="K58" s="9" t="str">
        <f>IF(AND($A58&gt;=1,$A58&lt;=8,K$57&gt;=1,K$57&lt;=8),ABS(INDEX(Kernels!$G$13:$I$15,1,1)*INDEX(Datos!$B$3:$K$12,($A58+1)+-1,(K$57+1)+-1)+INDEX(Kernels!$G$13:$I$15,1,2)*INDEX(Datos!$B$3:$K$12,($A58+1)+-1,(K$57+1)+0)+INDEX(Kernels!$G$13:$I$15,1,3)*INDEX(Datos!$B$3:$K$12,($A58+1)+-1,(K$57+1)+1)+INDEX(Kernels!$G$13:$I$15,2,1)*INDEX(Datos!$B$3:$K$12,($A58+1)+0,(K$57+1)+-1)+INDEX(Kernels!$G$13:$I$15,2,2)*INDEX(Datos!$B$3:$K$12,($A58+1)+0,(K$57+1)+0)+INDEX(Kernels!$G$13:$I$15,2,3)*INDEX(Datos!$B$3:$K$12,($A58+1)+0,(K$57+1)+1)+INDEX(Kernels!$G$13:$I$15,3,1)*INDEX(Datos!$B$3:$K$12,($A58+1)+1,(K$57+1)+-1)+INDEX(Kernels!$G$13:$I$15,3,2)*INDEX(Datos!$B$3:$K$12,($A58+1)+1,(K$57+1)+0)+INDEX(Kernels!$G$13:$I$15,3,3)*INDEX(Datos!$B$3:$K$12,($A58+1)+1,(K$57+1)+1)),"")</f>
        <v/>
      </c>
    </row>
    <row r="59" spans="1:11" ht="24" customHeight="1" x14ac:dyDescent="0.2">
      <c r="A59" s="10">
        <v>1</v>
      </c>
      <c r="B59" s="9" t="str">
        <f>IF(AND($A59&gt;=1,$A59&lt;=8,B$57&gt;=1,B$57&lt;=8),ABS(INDEX(Kernels!$G$13:$I$15,1,1)*INDEX(Datos!$B$3:$K$12,($A59+1)+-1,(B$57+1)+-1)+INDEX(Kernels!$G$13:$I$15,1,2)*INDEX(Datos!$B$3:$K$12,($A59+1)+-1,(B$57+1)+0)+INDEX(Kernels!$G$13:$I$15,1,3)*INDEX(Datos!$B$3:$K$12,($A59+1)+-1,(B$57+1)+1)+INDEX(Kernels!$G$13:$I$15,2,1)*INDEX(Datos!$B$3:$K$12,($A59+1)+0,(B$57+1)+-1)+INDEX(Kernels!$G$13:$I$15,2,2)*INDEX(Datos!$B$3:$K$12,($A59+1)+0,(B$57+1)+0)+INDEX(Kernels!$G$13:$I$15,2,3)*INDEX(Datos!$B$3:$K$12,($A59+1)+0,(B$57+1)+1)+INDEX(Kernels!$G$13:$I$15,3,1)*INDEX(Datos!$B$3:$K$12,($A59+1)+1,(B$57+1)+-1)+INDEX(Kernels!$G$13:$I$15,3,2)*INDEX(Datos!$B$3:$K$12,($A59+1)+1,(B$57+1)+0)+INDEX(Kernels!$G$13:$I$15,3,3)*INDEX(Datos!$B$3:$K$12,($A59+1)+1,(B$57+1)+1)),"")</f>
        <v/>
      </c>
      <c r="C59" s="9">
        <f>IF(AND($A59&gt;=1,$A59&lt;=8,C$57&gt;=1,C$57&lt;=8),ABS(INDEX(Kernels!$G$13:$I$15,1,1)*INDEX(Datos!$B$3:$K$12,($A59+1)+-1,(C$57+1)+-1)+INDEX(Kernels!$G$13:$I$15,1,2)*INDEX(Datos!$B$3:$K$12,($A59+1)+-1,(C$57+1)+0)+INDEX(Kernels!$G$13:$I$15,1,3)*INDEX(Datos!$B$3:$K$12,($A59+1)+-1,(C$57+1)+1)+INDEX(Kernels!$G$13:$I$15,2,1)*INDEX(Datos!$B$3:$K$12,($A59+1)+0,(C$57+1)+-1)+INDEX(Kernels!$G$13:$I$15,2,2)*INDEX(Datos!$B$3:$K$12,($A59+1)+0,(C$57+1)+0)+INDEX(Kernels!$G$13:$I$15,2,3)*INDEX(Datos!$B$3:$K$12,($A59+1)+0,(C$57+1)+1)+INDEX(Kernels!$G$13:$I$15,3,1)*INDEX(Datos!$B$3:$K$12,($A59+1)+1,(C$57+1)+-1)+INDEX(Kernels!$G$13:$I$15,3,2)*INDEX(Datos!$B$3:$K$12,($A59+1)+1,(C$57+1)+0)+INDEX(Kernels!$G$13:$I$15,3,3)*INDEX(Datos!$B$3:$K$12,($A59+1)+1,(C$57+1)+1)),"")</f>
        <v>28</v>
      </c>
      <c r="D59" s="9">
        <f>IF(AND($A59&gt;=1,$A59&lt;=8,D$57&gt;=1,D$57&lt;=8),ABS(INDEX(Kernels!$G$13:$I$15,1,1)*INDEX(Datos!$B$3:$K$12,($A59+1)+-1,(D$57+1)+-1)+INDEX(Kernels!$G$13:$I$15,1,2)*INDEX(Datos!$B$3:$K$12,($A59+1)+-1,(D$57+1)+0)+INDEX(Kernels!$G$13:$I$15,1,3)*INDEX(Datos!$B$3:$K$12,($A59+1)+-1,(D$57+1)+1)+INDEX(Kernels!$G$13:$I$15,2,1)*INDEX(Datos!$B$3:$K$12,($A59+1)+0,(D$57+1)+-1)+INDEX(Kernels!$G$13:$I$15,2,2)*INDEX(Datos!$B$3:$K$12,($A59+1)+0,(D$57+1)+0)+INDEX(Kernels!$G$13:$I$15,2,3)*INDEX(Datos!$B$3:$K$12,($A59+1)+0,(D$57+1)+1)+INDEX(Kernels!$G$13:$I$15,3,1)*INDEX(Datos!$B$3:$K$12,($A59+1)+1,(D$57+1)+-1)+INDEX(Kernels!$G$13:$I$15,3,2)*INDEX(Datos!$B$3:$K$12,($A59+1)+1,(D$57+1)+0)+INDEX(Kernels!$G$13:$I$15,3,3)*INDEX(Datos!$B$3:$K$12,($A59+1)+1,(D$57+1)+1)),"")</f>
        <v>51</v>
      </c>
      <c r="E59" s="9">
        <f>IF(AND($A59&gt;=1,$A59&lt;=8,E$57&gt;=1,E$57&lt;=8),ABS(INDEX(Kernels!$G$13:$I$15,1,1)*INDEX(Datos!$B$3:$K$12,($A59+1)+-1,(E$57+1)+-1)+INDEX(Kernels!$G$13:$I$15,1,2)*INDEX(Datos!$B$3:$K$12,($A59+1)+-1,(E$57+1)+0)+INDEX(Kernels!$G$13:$I$15,1,3)*INDEX(Datos!$B$3:$K$12,($A59+1)+-1,(E$57+1)+1)+INDEX(Kernels!$G$13:$I$15,2,1)*INDEX(Datos!$B$3:$K$12,($A59+1)+0,(E$57+1)+-1)+INDEX(Kernels!$G$13:$I$15,2,2)*INDEX(Datos!$B$3:$K$12,($A59+1)+0,(E$57+1)+0)+INDEX(Kernels!$G$13:$I$15,2,3)*INDEX(Datos!$B$3:$K$12,($A59+1)+0,(E$57+1)+1)+INDEX(Kernels!$G$13:$I$15,3,1)*INDEX(Datos!$B$3:$K$12,($A59+1)+1,(E$57+1)+-1)+INDEX(Kernels!$G$13:$I$15,3,2)*INDEX(Datos!$B$3:$K$12,($A59+1)+1,(E$57+1)+0)+INDEX(Kernels!$G$13:$I$15,3,3)*INDEX(Datos!$B$3:$K$12,($A59+1)+1,(E$57+1)+1)),"")</f>
        <v>6</v>
      </c>
      <c r="F59" s="9">
        <f>IF(AND($A59&gt;=1,$A59&lt;=8,F$57&gt;=1,F$57&lt;=8),ABS(INDEX(Kernels!$G$13:$I$15,1,1)*INDEX(Datos!$B$3:$K$12,($A59+1)+-1,(F$57+1)+-1)+INDEX(Kernels!$G$13:$I$15,1,2)*INDEX(Datos!$B$3:$K$12,($A59+1)+-1,(F$57+1)+0)+INDEX(Kernels!$G$13:$I$15,1,3)*INDEX(Datos!$B$3:$K$12,($A59+1)+-1,(F$57+1)+1)+INDEX(Kernels!$G$13:$I$15,2,1)*INDEX(Datos!$B$3:$K$12,($A59+1)+0,(F$57+1)+-1)+INDEX(Kernels!$G$13:$I$15,2,2)*INDEX(Datos!$B$3:$K$12,($A59+1)+0,(F$57+1)+0)+INDEX(Kernels!$G$13:$I$15,2,3)*INDEX(Datos!$B$3:$K$12,($A59+1)+0,(F$57+1)+1)+INDEX(Kernels!$G$13:$I$15,3,1)*INDEX(Datos!$B$3:$K$12,($A59+1)+1,(F$57+1)+-1)+INDEX(Kernels!$G$13:$I$15,3,2)*INDEX(Datos!$B$3:$K$12,($A59+1)+1,(F$57+1)+0)+INDEX(Kernels!$G$13:$I$15,3,3)*INDEX(Datos!$B$3:$K$12,($A59+1)+1,(F$57+1)+1)),"")</f>
        <v>35</v>
      </c>
      <c r="G59" s="9">
        <f>IF(AND($A59&gt;=1,$A59&lt;=8,G$57&gt;=1,G$57&lt;=8),ABS(INDEX(Kernels!$G$13:$I$15,1,1)*INDEX(Datos!$B$3:$K$12,($A59+1)+-1,(G$57+1)+-1)+INDEX(Kernels!$G$13:$I$15,1,2)*INDEX(Datos!$B$3:$K$12,($A59+1)+-1,(G$57+1)+0)+INDEX(Kernels!$G$13:$I$15,1,3)*INDEX(Datos!$B$3:$K$12,($A59+1)+-1,(G$57+1)+1)+INDEX(Kernels!$G$13:$I$15,2,1)*INDEX(Datos!$B$3:$K$12,($A59+1)+0,(G$57+1)+-1)+INDEX(Kernels!$G$13:$I$15,2,2)*INDEX(Datos!$B$3:$K$12,($A59+1)+0,(G$57+1)+0)+INDEX(Kernels!$G$13:$I$15,2,3)*INDEX(Datos!$B$3:$K$12,($A59+1)+0,(G$57+1)+1)+INDEX(Kernels!$G$13:$I$15,3,1)*INDEX(Datos!$B$3:$K$12,($A59+1)+1,(G$57+1)+-1)+INDEX(Kernels!$G$13:$I$15,3,2)*INDEX(Datos!$B$3:$K$12,($A59+1)+1,(G$57+1)+0)+INDEX(Kernels!$G$13:$I$15,3,3)*INDEX(Datos!$B$3:$K$12,($A59+1)+1,(G$57+1)+1)),"")</f>
        <v>39</v>
      </c>
      <c r="H59" s="9">
        <f>IF(AND($A59&gt;=1,$A59&lt;=8,H$57&gt;=1,H$57&lt;=8),ABS(INDEX(Kernels!$G$13:$I$15,1,1)*INDEX(Datos!$B$3:$K$12,($A59+1)+-1,(H$57+1)+-1)+INDEX(Kernels!$G$13:$I$15,1,2)*INDEX(Datos!$B$3:$K$12,($A59+1)+-1,(H$57+1)+0)+INDEX(Kernels!$G$13:$I$15,1,3)*INDEX(Datos!$B$3:$K$12,($A59+1)+-1,(H$57+1)+1)+INDEX(Kernels!$G$13:$I$15,2,1)*INDEX(Datos!$B$3:$K$12,($A59+1)+0,(H$57+1)+-1)+INDEX(Kernels!$G$13:$I$15,2,2)*INDEX(Datos!$B$3:$K$12,($A59+1)+0,(H$57+1)+0)+INDEX(Kernels!$G$13:$I$15,2,3)*INDEX(Datos!$B$3:$K$12,($A59+1)+0,(H$57+1)+1)+INDEX(Kernels!$G$13:$I$15,3,1)*INDEX(Datos!$B$3:$K$12,($A59+1)+1,(H$57+1)+-1)+INDEX(Kernels!$G$13:$I$15,3,2)*INDEX(Datos!$B$3:$K$12,($A59+1)+1,(H$57+1)+0)+INDEX(Kernels!$G$13:$I$15,3,3)*INDEX(Datos!$B$3:$K$12,($A59+1)+1,(H$57+1)+1)),"")</f>
        <v>228</v>
      </c>
      <c r="I59" s="9">
        <f>IF(AND($A59&gt;=1,$A59&lt;=8,I$57&gt;=1,I$57&lt;=8),ABS(INDEX(Kernels!$G$13:$I$15,1,1)*INDEX(Datos!$B$3:$K$12,($A59+1)+-1,(I$57+1)+-1)+INDEX(Kernels!$G$13:$I$15,1,2)*INDEX(Datos!$B$3:$K$12,($A59+1)+-1,(I$57+1)+0)+INDEX(Kernels!$G$13:$I$15,1,3)*INDEX(Datos!$B$3:$K$12,($A59+1)+-1,(I$57+1)+1)+INDEX(Kernels!$G$13:$I$15,2,1)*INDEX(Datos!$B$3:$K$12,($A59+1)+0,(I$57+1)+-1)+INDEX(Kernels!$G$13:$I$15,2,2)*INDEX(Datos!$B$3:$K$12,($A59+1)+0,(I$57+1)+0)+INDEX(Kernels!$G$13:$I$15,2,3)*INDEX(Datos!$B$3:$K$12,($A59+1)+0,(I$57+1)+1)+INDEX(Kernels!$G$13:$I$15,3,1)*INDEX(Datos!$B$3:$K$12,($A59+1)+1,(I$57+1)+-1)+INDEX(Kernels!$G$13:$I$15,3,2)*INDEX(Datos!$B$3:$K$12,($A59+1)+1,(I$57+1)+0)+INDEX(Kernels!$G$13:$I$15,3,3)*INDEX(Datos!$B$3:$K$12,($A59+1)+1,(I$57+1)+1)),"")</f>
        <v>330</v>
      </c>
      <c r="J59" s="9">
        <f>IF(AND($A59&gt;=1,$A59&lt;=8,J$57&gt;=1,J$57&lt;=8),ABS(INDEX(Kernels!$G$13:$I$15,1,1)*INDEX(Datos!$B$3:$K$12,($A59+1)+-1,(J$57+1)+-1)+INDEX(Kernels!$G$13:$I$15,1,2)*INDEX(Datos!$B$3:$K$12,($A59+1)+-1,(J$57+1)+0)+INDEX(Kernels!$G$13:$I$15,1,3)*INDEX(Datos!$B$3:$K$12,($A59+1)+-1,(J$57+1)+1)+INDEX(Kernels!$G$13:$I$15,2,1)*INDEX(Datos!$B$3:$K$12,($A59+1)+0,(J$57+1)+-1)+INDEX(Kernels!$G$13:$I$15,2,2)*INDEX(Datos!$B$3:$K$12,($A59+1)+0,(J$57+1)+0)+INDEX(Kernels!$G$13:$I$15,2,3)*INDEX(Datos!$B$3:$K$12,($A59+1)+0,(J$57+1)+1)+INDEX(Kernels!$G$13:$I$15,3,1)*INDEX(Datos!$B$3:$K$12,($A59+1)+1,(J$57+1)+-1)+INDEX(Kernels!$G$13:$I$15,3,2)*INDEX(Datos!$B$3:$K$12,($A59+1)+1,(J$57+1)+0)+INDEX(Kernels!$G$13:$I$15,3,3)*INDEX(Datos!$B$3:$K$12,($A59+1)+1,(J$57+1)+1)),"")</f>
        <v>292</v>
      </c>
      <c r="K59" s="9" t="str">
        <f>IF(AND($A59&gt;=1,$A59&lt;=8,K$57&gt;=1,K$57&lt;=8),ABS(INDEX(Kernels!$G$13:$I$15,1,1)*INDEX(Datos!$B$3:$K$12,($A59+1)+-1,(K$57+1)+-1)+INDEX(Kernels!$G$13:$I$15,1,2)*INDEX(Datos!$B$3:$K$12,($A59+1)+-1,(K$57+1)+0)+INDEX(Kernels!$G$13:$I$15,1,3)*INDEX(Datos!$B$3:$K$12,($A59+1)+-1,(K$57+1)+1)+INDEX(Kernels!$G$13:$I$15,2,1)*INDEX(Datos!$B$3:$K$12,($A59+1)+0,(K$57+1)+-1)+INDEX(Kernels!$G$13:$I$15,2,2)*INDEX(Datos!$B$3:$K$12,($A59+1)+0,(K$57+1)+0)+INDEX(Kernels!$G$13:$I$15,2,3)*INDEX(Datos!$B$3:$K$12,($A59+1)+0,(K$57+1)+1)+INDEX(Kernels!$G$13:$I$15,3,1)*INDEX(Datos!$B$3:$K$12,($A59+1)+1,(K$57+1)+-1)+INDEX(Kernels!$G$13:$I$15,3,2)*INDEX(Datos!$B$3:$K$12,($A59+1)+1,(K$57+1)+0)+INDEX(Kernels!$G$13:$I$15,3,3)*INDEX(Datos!$B$3:$K$12,($A59+1)+1,(K$57+1)+1)),"")</f>
        <v/>
      </c>
    </row>
    <row r="60" spans="1:11" ht="24" customHeight="1" x14ac:dyDescent="0.2">
      <c r="A60" s="10">
        <v>2</v>
      </c>
      <c r="B60" s="9" t="str">
        <f>IF(AND($A60&gt;=1,$A60&lt;=8,B$57&gt;=1,B$57&lt;=8),ABS(INDEX(Kernels!$G$13:$I$15,1,1)*INDEX(Datos!$B$3:$K$12,($A60+1)+-1,(B$57+1)+-1)+INDEX(Kernels!$G$13:$I$15,1,2)*INDEX(Datos!$B$3:$K$12,($A60+1)+-1,(B$57+1)+0)+INDEX(Kernels!$G$13:$I$15,1,3)*INDEX(Datos!$B$3:$K$12,($A60+1)+-1,(B$57+1)+1)+INDEX(Kernels!$G$13:$I$15,2,1)*INDEX(Datos!$B$3:$K$12,($A60+1)+0,(B$57+1)+-1)+INDEX(Kernels!$G$13:$I$15,2,2)*INDEX(Datos!$B$3:$K$12,($A60+1)+0,(B$57+1)+0)+INDEX(Kernels!$G$13:$I$15,2,3)*INDEX(Datos!$B$3:$K$12,($A60+1)+0,(B$57+1)+1)+INDEX(Kernels!$G$13:$I$15,3,1)*INDEX(Datos!$B$3:$K$12,($A60+1)+1,(B$57+1)+-1)+INDEX(Kernels!$G$13:$I$15,3,2)*INDEX(Datos!$B$3:$K$12,($A60+1)+1,(B$57+1)+0)+INDEX(Kernels!$G$13:$I$15,3,3)*INDEX(Datos!$B$3:$K$12,($A60+1)+1,(B$57+1)+1)),"")</f>
        <v/>
      </c>
      <c r="C60" s="9">
        <f>IF(AND($A60&gt;=1,$A60&lt;=8,C$57&gt;=1,C$57&lt;=8),ABS(INDEX(Kernels!$G$13:$I$15,1,1)*INDEX(Datos!$B$3:$K$12,($A60+1)+-1,(C$57+1)+-1)+INDEX(Kernels!$G$13:$I$15,1,2)*INDEX(Datos!$B$3:$K$12,($A60+1)+-1,(C$57+1)+0)+INDEX(Kernels!$G$13:$I$15,1,3)*INDEX(Datos!$B$3:$K$12,($A60+1)+-1,(C$57+1)+1)+INDEX(Kernels!$G$13:$I$15,2,1)*INDEX(Datos!$B$3:$K$12,($A60+1)+0,(C$57+1)+-1)+INDEX(Kernels!$G$13:$I$15,2,2)*INDEX(Datos!$B$3:$K$12,($A60+1)+0,(C$57+1)+0)+INDEX(Kernels!$G$13:$I$15,2,3)*INDEX(Datos!$B$3:$K$12,($A60+1)+0,(C$57+1)+1)+INDEX(Kernels!$G$13:$I$15,3,1)*INDEX(Datos!$B$3:$K$12,($A60+1)+1,(C$57+1)+-1)+INDEX(Kernels!$G$13:$I$15,3,2)*INDEX(Datos!$B$3:$K$12,($A60+1)+1,(C$57+1)+0)+INDEX(Kernels!$G$13:$I$15,3,3)*INDEX(Datos!$B$3:$K$12,($A60+1)+1,(C$57+1)+1)),"")</f>
        <v>130</v>
      </c>
      <c r="D60" s="9">
        <f>IF(AND($A60&gt;=1,$A60&lt;=8,D$57&gt;=1,D$57&lt;=8),ABS(INDEX(Kernels!$G$13:$I$15,1,1)*INDEX(Datos!$B$3:$K$12,($A60+1)+-1,(D$57+1)+-1)+INDEX(Kernels!$G$13:$I$15,1,2)*INDEX(Datos!$B$3:$K$12,($A60+1)+-1,(D$57+1)+0)+INDEX(Kernels!$G$13:$I$15,1,3)*INDEX(Datos!$B$3:$K$12,($A60+1)+-1,(D$57+1)+1)+INDEX(Kernels!$G$13:$I$15,2,1)*INDEX(Datos!$B$3:$K$12,($A60+1)+0,(D$57+1)+-1)+INDEX(Kernels!$G$13:$I$15,2,2)*INDEX(Datos!$B$3:$K$12,($A60+1)+0,(D$57+1)+0)+INDEX(Kernels!$G$13:$I$15,2,3)*INDEX(Datos!$B$3:$K$12,($A60+1)+0,(D$57+1)+1)+INDEX(Kernels!$G$13:$I$15,3,1)*INDEX(Datos!$B$3:$K$12,($A60+1)+1,(D$57+1)+-1)+INDEX(Kernels!$G$13:$I$15,3,2)*INDEX(Datos!$B$3:$K$12,($A60+1)+1,(D$57+1)+0)+INDEX(Kernels!$G$13:$I$15,3,3)*INDEX(Datos!$B$3:$K$12,($A60+1)+1,(D$57+1)+1)),"")</f>
        <v>116</v>
      </c>
      <c r="E60" s="9">
        <f>IF(AND($A60&gt;=1,$A60&lt;=8,E$57&gt;=1,E$57&lt;=8),ABS(INDEX(Kernels!$G$13:$I$15,1,1)*INDEX(Datos!$B$3:$K$12,($A60+1)+-1,(E$57+1)+-1)+INDEX(Kernels!$G$13:$I$15,1,2)*INDEX(Datos!$B$3:$K$12,($A60+1)+-1,(E$57+1)+0)+INDEX(Kernels!$G$13:$I$15,1,3)*INDEX(Datos!$B$3:$K$12,($A60+1)+-1,(E$57+1)+1)+INDEX(Kernels!$G$13:$I$15,2,1)*INDEX(Datos!$B$3:$K$12,($A60+1)+0,(E$57+1)+-1)+INDEX(Kernels!$G$13:$I$15,2,2)*INDEX(Datos!$B$3:$K$12,($A60+1)+0,(E$57+1)+0)+INDEX(Kernels!$G$13:$I$15,2,3)*INDEX(Datos!$B$3:$K$12,($A60+1)+0,(E$57+1)+1)+INDEX(Kernels!$G$13:$I$15,3,1)*INDEX(Datos!$B$3:$K$12,($A60+1)+1,(E$57+1)+-1)+INDEX(Kernels!$G$13:$I$15,3,2)*INDEX(Datos!$B$3:$K$12,($A60+1)+1,(E$57+1)+0)+INDEX(Kernels!$G$13:$I$15,3,3)*INDEX(Datos!$B$3:$K$12,($A60+1)+1,(E$57+1)+1)),"")</f>
        <v>76</v>
      </c>
      <c r="F60" s="9">
        <f>IF(AND($A60&gt;=1,$A60&lt;=8,F$57&gt;=1,F$57&lt;=8),ABS(INDEX(Kernels!$G$13:$I$15,1,1)*INDEX(Datos!$B$3:$K$12,($A60+1)+-1,(F$57+1)+-1)+INDEX(Kernels!$G$13:$I$15,1,2)*INDEX(Datos!$B$3:$K$12,($A60+1)+-1,(F$57+1)+0)+INDEX(Kernels!$G$13:$I$15,1,3)*INDEX(Datos!$B$3:$K$12,($A60+1)+-1,(F$57+1)+1)+INDEX(Kernels!$G$13:$I$15,2,1)*INDEX(Datos!$B$3:$K$12,($A60+1)+0,(F$57+1)+-1)+INDEX(Kernels!$G$13:$I$15,2,2)*INDEX(Datos!$B$3:$K$12,($A60+1)+0,(F$57+1)+0)+INDEX(Kernels!$G$13:$I$15,2,3)*INDEX(Datos!$B$3:$K$12,($A60+1)+0,(F$57+1)+1)+INDEX(Kernels!$G$13:$I$15,3,1)*INDEX(Datos!$B$3:$K$12,($A60+1)+1,(F$57+1)+-1)+INDEX(Kernels!$G$13:$I$15,3,2)*INDEX(Datos!$B$3:$K$12,($A60+1)+1,(F$57+1)+0)+INDEX(Kernels!$G$13:$I$15,3,3)*INDEX(Datos!$B$3:$K$12,($A60+1)+1,(F$57+1)+1)),"")</f>
        <v>50</v>
      </c>
      <c r="G60" s="9">
        <f>IF(AND($A60&gt;=1,$A60&lt;=8,G$57&gt;=1,G$57&lt;=8),ABS(INDEX(Kernels!$G$13:$I$15,1,1)*INDEX(Datos!$B$3:$K$12,($A60+1)+-1,(G$57+1)+-1)+INDEX(Kernels!$G$13:$I$15,1,2)*INDEX(Datos!$B$3:$K$12,($A60+1)+-1,(G$57+1)+0)+INDEX(Kernels!$G$13:$I$15,1,3)*INDEX(Datos!$B$3:$K$12,($A60+1)+-1,(G$57+1)+1)+INDEX(Kernels!$G$13:$I$15,2,1)*INDEX(Datos!$B$3:$K$12,($A60+1)+0,(G$57+1)+-1)+INDEX(Kernels!$G$13:$I$15,2,2)*INDEX(Datos!$B$3:$K$12,($A60+1)+0,(G$57+1)+0)+INDEX(Kernels!$G$13:$I$15,2,3)*INDEX(Datos!$B$3:$K$12,($A60+1)+0,(G$57+1)+1)+INDEX(Kernels!$G$13:$I$15,3,1)*INDEX(Datos!$B$3:$K$12,($A60+1)+1,(G$57+1)+-1)+INDEX(Kernels!$G$13:$I$15,3,2)*INDEX(Datos!$B$3:$K$12,($A60+1)+1,(G$57+1)+0)+INDEX(Kernels!$G$13:$I$15,3,3)*INDEX(Datos!$B$3:$K$12,($A60+1)+1,(G$57+1)+1)),"")</f>
        <v>84</v>
      </c>
      <c r="H60" s="9">
        <f>IF(AND($A60&gt;=1,$A60&lt;=8,H$57&gt;=1,H$57&lt;=8),ABS(INDEX(Kernels!$G$13:$I$15,1,1)*INDEX(Datos!$B$3:$K$12,($A60+1)+-1,(H$57+1)+-1)+INDEX(Kernels!$G$13:$I$15,1,2)*INDEX(Datos!$B$3:$K$12,($A60+1)+-1,(H$57+1)+0)+INDEX(Kernels!$G$13:$I$15,1,3)*INDEX(Datos!$B$3:$K$12,($A60+1)+-1,(H$57+1)+1)+INDEX(Kernels!$G$13:$I$15,2,1)*INDEX(Datos!$B$3:$K$12,($A60+1)+0,(H$57+1)+-1)+INDEX(Kernels!$G$13:$I$15,2,2)*INDEX(Datos!$B$3:$K$12,($A60+1)+0,(H$57+1)+0)+INDEX(Kernels!$G$13:$I$15,2,3)*INDEX(Datos!$B$3:$K$12,($A60+1)+0,(H$57+1)+1)+INDEX(Kernels!$G$13:$I$15,3,1)*INDEX(Datos!$B$3:$K$12,($A60+1)+1,(H$57+1)+-1)+INDEX(Kernels!$G$13:$I$15,3,2)*INDEX(Datos!$B$3:$K$12,($A60+1)+1,(H$57+1)+0)+INDEX(Kernels!$G$13:$I$15,3,3)*INDEX(Datos!$B$3:$K$12,($A60+1)+1,(H$57+1)+1)),"")</f>
        <v>169</v>
      </c>
      <c r="I60" s="9">
        <f>IF(AND($A60&gt;=1,$A60&lt;=8,I$57&gt;=1,I$57&lt;=8),ABS(INDEX(Kernels!$G$13:$I$15,1,1)*INDEX(Datos!$B$3:$K$12,($A60+1)+-1,(I$57+1)+-1)+INDEX(Kernels!$G$13:$I$15,1,2)*INDEX(Datos!$B$3:$K$12,($A60+1)+-1,(I$57+1)+0)+INDEX(Kernels!$G$13:$I$15,1,3)*INDEX(Datos!$B$3:$K$12,($A60+1)+-1,(I$57+1)+1)+INDEX(Kernels!$G$13:$I$15,2,1)*INDEX(Datos!$B$3:$K$12,($A60+1)+0,(I$57+1)+-1)+INDEX(Kernels!$G$13:$I$15,2,2)*INDEX(Datos!$B$3:$K$12,($A60+1)+0,(I$57+1)+0)+INDEX(Kernels!$G$13:$I$15,2,3)*INDEX(Datos!$B$3:$K$12,($A60+1)+0,(I$57+1)+1)+INDEX(Kernels!$G$13:$I$15,3,1)*INDEX(Datos!$B$3:$K$12,($A60+1)+1,(I$57+1)+-1)+INDEX(Kernels!$G$13:$I$15,3,2)*INDEX(Datos!$B$3:$K$12,($A60+1)+1,(I$57+1)+0)+INDEX(Kernels!$G$13:$I$15,3,3)*INDEX(Datos!$B$3:$K$12,($A60+1)+1,(I$57+1)+1)),"")</f>
        <v>276</v>
      </c>
      <c r="J60" s="9">
        <f>IF(AND($A60&gt;=1,$A60&lt;=8,J$57&gt;=1,J$57&lt;=8),ABS(INDEX(Kernels!$G$13:$I$15,1,1)*INDEX(Datos!$B$3:$K$12,($A60+1)+-1,(J$57+1)+-1)+INDEX(Kernels!$G$13:$I$15,1,2)*INDEX(Datos!$B$3:$K$12,($A60+1)+-1,(J$57+1)+0)+INDEX(Kernels!$G$13:$I$15,1,3)*INDEX(Datos!$B$3:$K$12,($A60+1)+-1,(J$57+1)+1)+INDEX(Kernels!$G$13:$I$15,2,1)*INDEX(Datos!$B$3:$K$12,($A60+1)+0,(J$57+1)+-1)+INDEX(Kernels!$G$13:$I$15,2,2)*INDEX(Datos!$B$3:$K$12,($A60+1)+0,(J$57+1)+0)+INDEX(Kernels!$G$13:$I$15,2,3)*INDEX(Datos!$B$3:$K$12,($A60+1)+0,(J$57+1)+1)+INDEX(Kernels!$G$13:$I$15,3,1)*INDEX(Datos!$B$3:$K$12,($A60+1)+1,(J$57+1)+-1)+INDEX(Kernels!$G$13:$I$15,3,2)*INDEX(Datos!$B$3:$K$12,($A60+1)+1,(J$57+1)+0)+INDEX(Kernels!$G$13:$I$15,3,3)*INDEX(Datos!$B$3:$K$12,($A60+1)+1,(J$57+1)+1)),"")</f>
        <v>395</v>
      </c>
      <c r="K60" s="9" t="str">
        <f>IF(AND($A60&gt;=1,$A60&lt;=8,K$57&gt;=1,K$57&lt;=8),ABS(INDEX(Kernels!$G$13:$I$15,1,1)*INDEX(Datos!$B$3:$K$12,($A60+1)+-1,(K$57+1)+-1)+INDEX(Kernels!$G$13:$I$15,1,2)*INDEX(Datos!$B$3:$K$12,($A60+1)+-1,(K$57+1)+0)+INDEX(Kernels!$G$13:$I$15,1,3)*INDEX(Datos!$B$3:$K$12,($A60+1)+-1,(K$57+1)+1)+INDEX(Kernels!$G$13:$I$15,2,1)*INDEX(Datos!$B$3:$K$12,($A60+1)+0,(K$57+1)+-1)+INDEX(Kernels!$G$13:$I$15,2,2)*INDEX(Datos!$B$3:$K$12,($A60+1)+0,(K$57+1)+0)+INDEX(Kernels!$G$13:$I$15,2,3)*INDEX(Datos!$B$3:$K$12,($A60+1)+0,(K$57+1)+1)+INDEX(Kernels!$G$13:$I$15,3,1)*INDEX(Datos!$B$3:$K$12,($A60+1)+1,(K$57+1)+-1)+INDEX(Kernels!$G$13:$I$15,3,2)*INDEX(Datos!$B$3:$K$12,($A60+1)+1,(K$57+1)+0)+INDEX(Kernels!$G$13:$I$15,3,3)*INDEX(Datos!$B$3:$K$12,($A60+1)+1,(K$57+1)+1)),"")</f>
        <v/>
      </c>
    </row>
    <row r="61" spans="1:11" ht="24" customHeight="1" x14ac:dyDescent="0.2">
      <c r="A61" s="10">
        <v>3</v>
      </c>
      <c r="B61" s="9" t="str">
        <f>IF(AND($A61&gt;=1,$A61&lt;=8,B$57&gt;=1,B$57&lt;=8),ABS(INDEX(Kernels!$G$13:$I$15,1,1)*INDEX(Datos!$B$3:$K$12,($A61+1)+-1,(B$57+1)+-1)+INDEX(Kernels!$G$13:$I$15,1,2)*INDEX(Datos!$B$3:$K$12,($A61+1)+-1,(B$57+1)+0)+INDEX(Kernels!$G$13:$I$15,1,3)*INDEX(Datos!$B$3:$K$12,($A61+1)+-1,(B$57+1)+1)+INDEX(Kernels!$G$13:$I$15,2,1)*INDEX(Datos!$B$3:$K$12,($A61+1)+0,(B$57+1)+-1)+INDEX(Kernels!$G$13:$I$15,2,2)*INDEX(Datos!$B$3:$K$12,($A61+1)+0,(B$57+1)+0)+INDEX(Kernels!$G$13:$I$15,2,3)*INDEX(Datos!$B$3:$K$12,($A61+1)+0,(B$57+1)+1)+INDEX(Kernels!$G$13:$I$15,3,1)*INDEX(Datos!$B$3:$K$12,($A61+1)+1,(B$57+1)+-1)+INDEX(Kernels!$G$13:$I$15,3,2)*INDEX(Datos!$B$3:$K$12,($A61+1)+1,(B$57+1)+0)+INDEX(Kernels!$G$13:$I$15,3,3)*INDEX(Datos!$B$3:$K$12,($A61+1)+1,(B$57+1)+1)),"")</f>
        <v/>
      </c>
      <c r="C61" s="9">
        <f>IF(AND($A61&gt;=1,$A61&lt;=8,C$57&gt;=1,C$57&lt;=8),ABS(INDEX(Kernels!$G$13:$I$15,1,1)*INDEX(Datos!$B$3:$K$12,($A61+1)+-1,(C$57+1)+-1)+INDEX(Kernels!$G$13:$I$15,1,2)*INDEX(Datos!$B$3:$K$12,($A61+1)+-1,(C$57+1)+0)+INDEX(Kernels!$G$13:$I$15,1,3)*INDEX(Datos!$B$3:$K$12,($A61+1)+-1,(C$57+1)+1)+INDEX(Kernels!$G$13:$I$15,2,1)*INDEX(Datos!$B$3:$K$12,($A61+1)+0,(C$57+1)+-1)+INDEX(Kernels!$G$13:$I$15,2,2)*INDEX(Datos!$B$3:$K$12,($A61+1)+0,(C$57+1)+0)+INDEX(Kernels!$G$13:$I$15,2,3)*INDEX(Datos!$B$3:$K$12,($A61+1)+0,(C$57+1)+1)+INDEX(Kernels!$G$13:$I$15,3,1)*INDEX(Datos!$B$3:$K$12,($A61+1)+1,(C$57+1)+-1)+INDEX(Kernels!$G$13:$I$15,3,2)*INDEX(Datos!$B$3:$K$12,($A61+1)+1,(C$57+1)+0)+INDEX(Kernels!$G$13:$I$15,3,3)*INDEX(Datos!$B$3:$K$12,($A61+1)+1,(C$57+1)+1)),"")</f>
        <v>35</v>
      </c>
      <c r="D61" s="9">
        <f>IF(AND($A61&gt;=1,$A61&lt;=8,D$57&gt;=1,D$57&lt;=8),ABS(INDEX(Kernels!$G$13:$I$15,1,1)*INDEX(Datos!$B$3:$K$12,($A61+1)+-1,(D$57+1)+-1)+INDEX(Kernels!$G$13:$I$15,1,2)*INDEX(Datos!$B$3:$K$12,($A61+1)+-1,(D$57+1)+0)+INDEX(Kernels!$G$13:$I$15,1,3)*INDEX(Datos!$B$3:$K$12,($A61+1)+-1,(D$57+1)+1)+INDEX(Kernels!$G$13:$I$15,2,1)*INDEX(Datos!$B$3:$K$12,($A61+1)+0,(D$57+1)+-1)+INDEX(Kernels!$G$13:$I$15,2,2)*INDEX(Datos!$B$3:$K$12,($A61+1)+0,(D$57+1)+0)+INDEX(Kernels!$G$13:$I$15,2,3)*INDEX(Datos!$B$3:$K$12,($A61+1)+0,(D$57+1)+1)+INDEX(Kernels!$G$13:$I$15,3,1)*INDEX(Datos!$B$3:$K$12,($A61+1)+1,(D$57+1)+-1)+INDEX(Kernels!$G$13:$I$15,3,2)*INDEX(Datos!$B$3:$K$12,($A61+1)+1,(D$57+1)+0)+INDEX(Kernels!$G$13:$I$15,3,3)*INDEX(Datos!$B$3:$K$12,($A61+1)+1,(D$57+1)+1)),"")</f>
        <v>75</v>
      </c>
      <c r="E61" s="9">
        <f>IF(AND($A61&gt;=1,$A61&lt;=8,E$57&gt;=1,E$57&lt;=8),ABS(INDEX(Kernels!$G$13:$I$15,1,1)*INDEX(Datos!$B$3:$K$12,($A61+1)+-1,(E$57+1)+-1)+INDEX(Kernels!$G$13:$I$15,1,2)*INDEX(Datos!$B$3:$K$12,($A61+1)+-1,(E$57+1)+0)+INDEX(Kernels!$G$13:$I$15,1,3)*INDEX(Datos!$B$3:$K$12,($A61+1)+-1,(E$57+1)+1)+INDEX(Kernels!$G$13:$I$15,2,1)*INDEX(Datos!$B$3:$K$12,($A61+1)+0,(E$57+1)+-1)+INDEX(Kernels!$G$13:$I$15,2,2)*INDEX(Datos!$B$3:$K$12,($A61+1)+0,(E$57+1)+0)+INDEX(Kernels!$G$13:$I$15,2,3)*INDEX(Datos!$B$3:$K$12,($A61+1)+0,(E$57+1)+1)+INDEX(Kernels!$G$13:$I$15,3,1)*INDEX(Datos!$B$3:$K$12,($A61+1)+1,(E$57+1)+-1)+INDEX(Kernels!$G$13:$I$15,3,2)*INDEX(Datos!$B$3:$K$12,($A61+1)+1,(E$57+1)+0)+INDEX(Kernels!$G$13:$I$15,3,3)*INDEX(Datos!$B$3:$K$12,($A61+1)+1,(E$57+1)+1)),"")</f>
        <v>104</v>
      </c>
      <c r="F61" s="9">
        <f>IF(AND($A61&gt;=1,$A61&lt;=8,F$57&gt;=1,F$57&lt;=8),ABS(INDEX(Kernels!$G$13:$I$15,1,1)*INDEX(Datos!$B$3:$K$12,($A61+1)+-1,(F$57+1)+-1)+INDEX(Kernels!$G$13:$I$15,1,2)*INDEX(Datos!$B$3:$K$12,($A61+1)+-1,(F$57+1)+0)+INDEX(Kernels!$G$13:$I$15,1,3)*INDEX(Datos!$B$3:$K$12,($A61+1)+-1,(F$57+1)+1)+INDEX(Kernels!$G$13:$I$15,2,1)*INDEX(Datos!$B$3:$K$12,($A61+1)+0,(F$57+1)+-1)+INDEX(Kernels!$G$13:$I$15,2,2)*INDEX(Datos!$B$3:$K$12,($A61+1)+0,(F$57+1)+0)+INDEX(Kernels!$G$13:$I$15,2,3)*INDEX(Datos!$B$3:$K$12,($A61+1)+0,(F$57+1)+1)+INDEX(Kernels!$G$13:$I$15,3,1)*INDEX(Datos!$B$3:$K$12,($A61+1)+1,(F$57+1)+-1)+INDEX(Kernels!$G$13:$I$15,3,2)*INDEX(Datos!$B$3:$K$12,($A61+1)+1,(F$57+1)+0)+INDEX(Kernels!$G$13:$I$15,3,3)*INDEX(Datos!$B$3:$K$12,($A61+1)+1,(F$57+1)+1)),"")</f>
        <v>45</v>
      </c>
      <c r="G61" s="9">
        <f>IF(AND($A61&gt;=1,$A61&lt;=8,G$57&gt;=1,G$57&lt;=8),ABS(INDEX(Kernels!$G$13:$I$15,1,1)*INDEX(Datos!$B$3:$K$12,($A61+1)+-1,(G$57+1)+-1)+INDEX(Kernels!$G$13:$I$15,1,2)*INDEX(Datos!$B$3:$K$12,($A61+1)+-1,(G$57+1)+0)+INDEX(Kernels!$G$13:$I$15,1,3)*INDEX(Datos!$B$3:$K$12,($A61+1)+-1,(G$57+1)+1)+INDEX(Kernels!$G$13:$I$15,2,1)*INDEX(Datos!$B$3:$K$12,($A61+1)+0,(G$57+1)+-1)+INDEX(Kernels!$G$13:$I$15,2,2)*INDEX(Datos!$B$3:$K$12,($A61+1)+0,(G$57+1)+0)+INDEX(Kernels!$G$13:$I$15,2,3)*INDEX(Datos!$B$3:$K$12,($A61+1)+0,(G$57+1)+1)+INDEX(Kernels!$G$13:$I$15,3,1)*INDEX(Datos!$B$3:$K$12,($A61+1)+1,(G$57+1)+-1)+INDEX(Kernels!$G$13:$I$15,3,2)*INDEX(Datos!$B$3:$K$12,($A61+1)+1,(G$57+1)+0)+INDEX(Kernels!$G$13:$I$15,3,3)*INDEX(Datos!$B$3:$K$12,($A61+1)+1,(G$57+1)+1)),"")</f>
        <v>32</v>
      </c>
      <c r="H61" s="9">
        <f>IF(AND($A61&gt;=1,$A61&lt;=8,H$57&gt;=1,H$57&lt;=8),ABS(INDEX(Kernels!$G$13:$I$15,1,1)*INDEX(Datos!$B$3:$K$12,($A61+1)+-1,(H$57+1)+-1)+INDEX(Kernels!$G$13:$I$15,1,2)*INDEX(Datos!$B$3:$K$12,($A61+1)+-1,(H$57+1)+0)+INDEX(Kernels!$G$13:$I$15,1,3)*INDEX(Datos!$B$3:$K$12,($A61+1)+-1,(H$57+1)+1)+INDEX(Kernels!$G$13:$I$15,2,1)*INDEX(Datos!$B$3:$K$12,($A61+1)+0,(H$57+1)+-1)+INDEX(Kernels!$G$13:$I$15,2,2)*INDEX(Datos!$B$3:$K$12,($A61+1)+0,(H$57+1)+0)+INDEX(Kernels!$G$13:$I$15,2,3)*INDEX(Datos!$B$3:$K$12,($A61+1)+0,(H$57+1)+1)+INDEX(Kernels!$G$13:$I$15,3,1)*INDEX(Datos!$B$3:$K$12,($A61+1)+1,(H$57+1)+-1)+INDEX(Kernels!$G$13:$I$15,3,2)*INDEX(Datos!$B$3:$K$12,($A61+1)+1,(H$57+1)+0)+INDEX(Kernels!$G$13:$I$15,3,3)*INDEX(Datos!$B$3:$K$12,($A61+1)+1,(H$57+1)+1)),"")</f>
        <v>68</v>
      </c>
      <c r="I61" s="9">
        <f>IF(AND($A61&gt;=1,$A61&lt;=8,I$57&gt;=1,I$57&lt;=8),ABS(INDEX(Kernels!$G$13:$I$15,1,1)*INDEX(Datos!$B$3:$K$12,($A61+1)+-1,(I$57+1)+-1)+INDEX(Kernels!$G$13:$I$15,1,2)*INDEX(Datos!$B$3:$K$12,($A61+1)+-1,(I$57+1)+0)+INDEX(Kernels!$G$13:$I$15,1,3)*INDEX(Datos!$B$3:$K$12,($A61+1)+-1,(I$57+1)+1)+INDEX(Kernels!$G$13:$I$15,2,1)*INDEX(Datos!$B$3:$K$12,($A61+1)+0,(I$57+1)+-1)+INDEX(Kernels!$G$13:$I$15,2,2)*INDEX(Datos!$B$3:$K$12,($A61+1)+0,(I$57+1)+0)+INDEX(Kernels!$G$13:$I$15,2,3)*INDEX(Datos!$B$3:$K$12,($A61+1)+0,(I$57+1)+1)+INDEX(Kernels!$G$13:$I$15,3,1)*INDEX(Datos!$B$3:$K$12,($A61+1)+1,(I$57+1)+-1)+INDEX(Kernels!$G$13:$I$15,3,2)*INDEX(Datos!$B$3:$K$12,($A61+1)+1,(I$57+1)+0)+INDEX(Kernels!$G$13:$I$15,3,3)*INDEX(Datos!$B$3:$K$12,($A61+1)+1,(I$57+1)+1)),"")</f>
        <v>56</v>
      </c>
      <c r="J61" s="9">
        <f>IF(AND($A61&gt;=1,$A61&lt;=8,J$57&gt;=1,J$57&lt;=8),ABS(INDEX(Kernels!$G$13:$I$15,1,1)*INDEX(Datos!$B$3:$K$12,($A61+1)+-1,(J$57+1)+-1)+INDEX(Kernels!$G$13:$I$15,1,2)*INDEX(Datos!$B$3:$K$12,($A61+1)+-1,(J$57+1)+0)+INDEX(Kernels!$G$13:$I$15,1,3)*INDEX(Datos!$B$3:$K$12,($A61+1)+-1,(J$57+1)+1)+INDEX(Kernels!$G$13:$I$15,2,1)*INDEX(Datos!$B$3:$K$12,($A61+1)+0,(J$57+1)+-1)+INDEX(Kernels!$G$13:$I$15,2,2)*INDEX(Datos!$B$3:$K$12,($A61+1)+0,(J$57+1)+0)+INDEX(Kernels!$G$13:$I$15,2,3)*INDEX(Datos!$B$3:$K$12,($A61+1)+0,(J$57+1)+1)+INDEX(Kernels!$G$13:$I$15,3,1)*INDEX(Datos!$B$3:$K$12,($A61+1)+1,(J$57+1)+-1)+INDEX(Kernels!$G$13:$I$15,3,2)*INDEX(Datos!$B$3:$K$12,($A61+1)+1,(J$57+1)+0)+INDEX(Kernels!$G$13:$I$15,3,3)*INDEX(Datos!$B$3:$K$12,($A61+1)+1,(J$57+1)+1)),"")</f>
        <v>49</v>
      </c>
      <c r="K61" s="9" t="str">
        <f>IF(AND($A61&gt;=1,$A61&lt;=8,K$57&gt;=1,K$57&lt;=8),ABS(INDEX(Kernels!$G$13:$I$15,1,1)*INDEX(Datos!$B$3:$K$12,($A61+1)+-1,(K$57+1)+-1)+INDEX(Kernels!$G$13:$I$15,1,2)*INDEX(Datos!$B$3:$K$12,($A61+1)+-1,(K$57+1)+0)+INDEX(Kernels!$G$13:$I$15,1,3)*INDEX(Datos!$B$3:$K$12,($A61+1)+-1,(K$57+1)+1)+INDEX(Kernels!$G$13:$I$15,2,1)*INDEX(Datos!$B$3:$K$12,($A61+1)+0,(K$57+1)+-1)+INDEX(Kernels!$G$13:$I$15,2,2)*INDEX(Datos!$B$3:$K$12,($A61+1)+0,(K$57+1)+0)+INDEX(Kernels!$G$13:$I$15,2,3)*INDEX(Datos!$B$3:$K$12,($A61+1)+0,(K$57+1)+1)+INDEX(Kernels!$G$13:$I$15,3,1)*INDEX(Datos!$B$3:$K$12,($A61+1)+1,(K$57+1)+-1)+INDEX(Kernels!$G$13:$I$15,3,2)*INDEX(Datos!$B$3:$K$12,($A61+1)+1,(K$57+1)+0)+INDEX(Kernels!$G$13:$I$15,3,3)*INDEX(Datos!$B$3:$K$12,($A61+1)+1,(K$57+1)+1)),"")</f>
        <v/>
      </c>
    </row>
    <row r="62" spans="1:11" ht="24" customHeight="1" x14ac:dyDescent="0.2">
      <c r="A62" s="10">
        <v>4</v>
      </c>
      <c r="B62" s="9" t="str">
        <f>IF(AND($A62&gt;=1,$A62&lt;=8,B$57&gt;=1,B$57&lt;=8),ABS(INDEX(Kernels!$G$13:$I$15,1,1)*INDEX(Datos!$B$3:$K$12,($A62+1)+-1,(B$57+1)+-1)+INDEX(Kernels!$G$13:$I$15,1,2)*INDEX(Datos!$B$3:$K$12,($A62+1)+-1,(B$57+1)+0)+INDEX(Kernels!$G$13:$I$15,1,3)*INDEX(Datos!$B$3:$K$12,($A62+1)+-1,(B$57+1)+1)+INDEX(Kernels!$G$13:$I$15,2,1)*INDEX(Datos!$B$3:$K$12,($A62+1)+0,(B$57+1)+-1)+INDEX(Kernels!$G$13:$I$15,2,2)*INDEX(Datos!$B$3:$K$12,($A62+1)+0,(B$57+1)+0)+INDEX(Kernels!$G$13:$I$15,2,3)*INDEX(Datos!$B$3:$K$12,($A62+1)+0,(B$57+1)+1)+INDEX(Kernels!$G$13:$I$15,3,1)*INDEX(Datos!$B$3:$K$12,($A62+1)+1,(B$57+1)+-1)+INDEX(Kernels!$G$13:$I$15,3,2)*INDEX(Datos!$B$3:$K$12,($A62+1)+1,(B$57+1)+0)+INDEX(Kernels!$G$13:$I$15,3,3)*INDEX(Datos!$B$3:$K$12,($A62+1)+1,(B$57+1)+1)),"")</f>
        <v/>
      </c>
      <c r="C62" s="9">
        <f>IF(AND($A62&gt;=1,$A62&lt;=8,C$57&gt;=1,C$57&lt;=8),ABS(INDEX(Kernels!$G$13:$I$15,1,1)*INDEX(Datos!$B$3:$K$12,($A62+1)+-1,(C$57+1)+-1)+INDEX(Kernels!$G$13:$I$15,1,2)*INDEX(Datos!$B$3:$K$12,($A62+1)+-1,(C$57+1)+0)+INDEX(Kernels!$G$13:$I$15,1,3)*INDEX(Datos!$B$3:$K$12,($A62+1)+-1,(C$57+1)+1)+INDEX(Kernels!$G$13:$I$15,2,1)*INDEX(Datos!$B$3:$K$12,($A62+1)+0,(C$57+1)+-1)+INDEX(Kernels!$G$13:$I$15,2,2)*INDEX(Datos!$B$3:$K$12,($A62+1)+0,(C$57+1)+0)+INDEX(Kernels!$G$13:$I$15,2,3)*INDEX(Datos!$B$3:$K$12,($A62+1)+0,(C$57+1)+1)+INDEX(Kernels!$G$13:$I$15,3,1)*INDEX(Datos!$B$3:$K$12,($A62+1)+1,(C$57+1)+-1)+INDEX(Kernels!$G$13:$I$15,3,2)*INDEX(Datos!$B$3:$K$12,($A62+1)+1,(C$57+1)+0)+INDEX(Kernels!$G$13:$I$15,3,3)*INDEX(Datos!$B$3:$K$12,($A62+1)+1,(C$57+1)+1)),"")</f>
        <v>159</v>
      </c>
      <c r="D62" s="9">
        <f>IF(AND($A62&gt;=1,$A62&lt;=8,D$57&gt;=1,D$57&lt;=8),ABS(INDEX(Kernels!$G$13:$I$15,1,1)*INDEX(Datos!$B$3:$K$12,($A62+1)+-1,(D$57+1)+-1)+INDEX(Kernels!$G$13:$I$15,1,2)*INDEX(Datos!$B$3:$K$12,($A62+1)+-1,(D$57+1)+0)+INDEX(Kernels!$G$13:$I$15,1,3)*INDEX(Datos!$B$3:$K$12,($A62+1)+-1,(D$57+1)+1)+INDEX(Kernels!$G$13:$I$15,2,1)*INDEX(Datos!$B$3:$K$12,($A62+1)+0,(D$57+1)+-1)+INDEX(Kernels!$G$13:$I$15,2,2)*INDEX(Datos!$B$3:$K$12,($A62+1)+0,(D$57+1)+0)+INDEX(Kernels!$G$13:$I$15,2,3)*INDEX(Datos!$B$3:$K$12,($A62+1)+0,(D$57+1)+1)+INDEX(Kernels!$G$13:$I$15,3,1)*INDEX(Datos!$B$3:$K$12,($A62+1)+1,(D$57+1)+-1)+INDEX(Kernels!$G$13:$I$15,3,2)*INDEX(Datos!$B$3:$K$12,($A62+1)+1,(D$57+1)+0)+INDEX(Kernels!$G$13:$I$15,3,3)*INDEX(Datos!$B$3:$K$12,($A62+1)+1,(D$57+1)+1)),"")</f>
        <v>180</v>
      </c>
      <c r="E62" s="9">
        <f>IF(AND($A62&gt;=1,$A62&lt;=8,E$57&gt;=1,E$57&lt;=8),ABS(INDEX(Kernels!$G$13:$I$15,1,1)*INDEX(Datos!$B$3:$K$12,($A62+1)+-1,(E$57+1)+-1)+INDEX(Kernels!$G$13:$I$15,1,2)*INDEX(Datos!$B$3:$K$12,($A62+1)+-1,(E$57+1)+0)+INDEX(Kernels!$G$13:$I$15,1,3)*INDEX(Datos!$B$3:$K$12,($A62+1)+-1,(E$57+1)+1)+INDEX(Kernels!$G$13:$I$15,2,1)*INDEX(Datos!$B$3:$K$12,($A62+1)+0,(E$57+1)+-1)+INDEX(Kernels!$G$13:$I$15,2,2)*INDEX(Datos!$B$3:$K$12,($A62+1)+0,(E$57+1)+0)+INDEX(Kernels!$G$13:$I$15,2,3)*INDEX(Datos!$B$3:$K$12,($A62+1)+0,(E$57+1)+1)+INDEX(Kernels!$G$13:$I$15,3,1)*INDEX(Datos!$B$3:$K$12,($A62+1)+1,(E$57+1)+-1)+INDEX(Kernels!$G$13:$I$15,3,2)*INDEX(Datos!$B$3:$K$12,($A62+1)+1,(E$57+1)+0)+INDEX(Kernels!$G$13:$I$15,3,3)*INDEX(Datos!$B$3:$K$12,($A62+1)+1,(E$57+1)+1)),"")</f>
        <v>106</v>
      </c>
      <c r="F62" s="9">
        <f>IF(AND($A62&gt;=1,$A62&lt;=8,F$57&gt;=1,F$57&lt;=8),ABS(INDEX(Kernels!$G$13:$I$15,1,1)*INDEX(Datos!$B$3:$K$12,($A62+1)+-1,(F$57+1)+-1)+INDEX(Kernels!$G$13:$I$15,1,2)*INDEX(Datos!$B$3:$K$12,($A62+1)+-1,(F$57+1)+0)+INDEX(Kernels!$G$13:$I$15,1,3)*INDEX(Datos!$B$3:$K$12,($A62+1)+-1,(F$57+1)+1)+INDEX(Kernels!$G$13:$I$15,2,1)*INDEX(Datos!$B$3:$K$12,($A62+1)+0,(F$57+1)+-1)+INDEX(Kernels!$G$13:$I$15,2,2)*INDEX(Datos!$B$3:$K$12,($A62+1)+0,(F$57+1)+0)+INDEX(Kernels!$G$13:$I$15,2,3)*INDEX(Datos!$B$3:$K$12,($A62+1)+0,(F$57+1)+1)+INDEX(Kernels!$G$13:$I$15,3,1)*INDEX(Datos!$B$3:$K$12,($A62+1)+1,(F$57+1)+-1)+INDEX(Kernels!$G$13:$I$15,3,2)*INDEX(Datos!$B$3:$K$12,($A62+1)+1,(F$57+1)+0)+INDEX(Kernels!$G$13:$I$15,3,3)*INDEX(Datos!$B$3:$K$12,($A62+1)+1,(F$57+1)+1)),"")</f>
        <v>16</v>
      </c>
      <c r="G62" s="9">
        <f>IF(AND($A62&gt;=1,$A62&lt;=8,G$57&gt;=1,G$57&lt;=8),ABS(INDEX(Kernels!$G$13:$I$15,1,1)*INDEX(Datos!$B$3:$K$12,($A62+1)+-1,(G$57+1)+-1)+INDEX(Kernels!$G$13:$I$15,1,2)*INDEX(Datos!$B$3:$K$12,($A62+1)+-1,(G$57+1)+0)+INDEX(Kernels!$G$13:$I$15,1,3)*INDEX(Datos!$B$3:$K$12,($A62+1)+-1,(G$57+1)+1)+INDEX(Kernels!$G$13:$I$15,2,1)*INDEX(Datos!$B$3:$K$12,($A62+1)+0,(G$57+1)+-1)+INDEX(Kernels!$G$13:$I$15,2,2)*INDEX(Datos!$B$3:$K$12,($A62+1)+0,(G$57+1)+0)+INDEX(Kernels!$G$13:$I$15,2,3)*INDEX(Datos!$B$3:$K$12,($A62+1)+0,(G$57+1)+1)+INDEX(Kernels!$G$13:$I$15,3,1)*INDEX(Datos!$B$3:$K$12,($A62+1)+1,(G$57+1)+-1)+INDEX(Kernels!$G$13:$I$15,3,2)*INDEX(Datos!$B$3:$K$12,($A62+1)+1,(G$57+1)+0)+INDEX(Kernels!$G$13:$I$15,3,3)*INDEX(Datos!$B$3:$K$12,($A62+1)+1,(G$57+1)+1)),"")</f>
        <v>84</v>
      </c>
      <c r="H62" s="9">
        <f>IF(AND($A62&gt;=1,$A62&lt;=8,H$57&gt;=1,H$57&lt;=8),ABS(INDEX(Kernels!$G$13:$I$15,1,1)*INDEX(Datos!$B$3:$K$12,($A62+1)+-1,(H$57+1)+-1)+INDEX(Kernels!$G$13:$I$15,1,2)*INDEX(Datos!$B$3:$K$12,($A62+1)+-1,(H$57+1)+0)+INDEX(Kernels!$G$13:$I$15,1,3)*INDEX(Datos!$B$3:$K$12,($A62+1)+-1,(H$57+1)+1)+INDEX(Kernels!$G$13:$I$15,2,1)*INDEX(Datos!$B$3:$K$12,($A62+1)+0,(H$57+1)+-1)+INDEX(Kernels!$G$13:$I$15,2,2)*INDEX(Datos!$B$3:$K$12,($A62+1)+0,(H$57+1)+0)+INDEX(Kernels!$G$13:$I$15,2,3)*INDEX(Datos!$B$3:$K$12,($A62+1)+0,(H$57+1)+1)+INDEX(Kernels!$G$13:$I$15,3,1)*INDEX(Datos!$B$3:$K$12,($A62+1)+1,(H$57+1)+-1)+INDEX(Kernels!$G$13:$I$15,3,2)*INDEX(Datos!$B$3:$K$12,($A62+1)+1,(H$57+1)+0)+INDEX(Kernels!$G$13:$I$15,3,3)*INDEX(Datos!$B$3:$K$12,($A62+1)+1,(H$57+1)+1)),"")</f>
        <v>58</v>
      </c>
      <c r="I62" s="9">
        <f>IF(AND($A62&gt;=1,$A62&lt;=8,I$57&gt;=1,I$57&lt;=8),ABS(INDEX(Kernels!$G$13:$I$15,1,1)*INDEX(Datos!$B$3:$K$12,($A62+1)+-1,(I$57+1)+-1)+INDEX(Kernels!$G$13:$I$15,1,2)*INDEX(Datos!$B$3:$K$12,($A62+1)+-1,(I$57+1)+0)+INDEX(Kernels!$G$13:$I$15,1,3)*INDEX(Datos!$B$3:$K$12,($A62+1)+-1,(I$57+1)+1)+INDEX(Kernels!$G$13:$I$15,2,1)*INDEX(Datos!$B$3:$K$12,($A62+1)+0,(I$57+1)+-1)+INDEX(Kernels!$G$13:$I$15,2,2)*INDEX(Datos!$B$3:$K$12,($A62+1)+0,(I$57+1)+0)+INDEX(Kernels!$G$13:$I$15,2,3)*INDEX(Datos!$B$3:$K$12,($A62+1)+0,(I$57+1)+1)+INDEX(Kernels!$G$13:$I$15,3,1)*INDEX(Datos!$B$3:$K$12,($A62+1)+1,(I$57+1)+-1)+INDEX(Kernels!$G$13:$I$15,3,2)*INDEX(Datos!$B$3:$K$12,($A62+1)+1,(I$57+1)+0)+INDEX(Kernels!$G$13:$I$15,3,3)*INDEX(Datos!$B$3:$K$12,($A62+1)+1,(I$57+1)+1)),"")</f>
        <v>19</v>
      </c>
      <c r="J62" s="9">
        <f>IF(AND($A62&gt;=1,$A62&lt;=8,J$57&gt;=1,J$57&lt;=8),ABS(INDEX(Kernels!$G$13:$I$15,1,1)*INDEX(Datos!$B$3:$K$12,($A62+1)+-1,(J$57+1)+-1)+INDEX(Kernels!$G$13:$I$15,1,2)*INDEX(Datos!$B$3:$K$12,($A62+1)+-1,(J$57+1)+0)+INDEX(Kernels!$G$13:$I$15,1,3)*INDEX(Datos!$B$3:$K$12,($A62+1)+-1,(J$57+1)+1)+INDEX(Kernels!$G$13:$I$15,2,1)*INDEX(Datos!$B$3:$K$12,($A62+1)+0,(J$57+1)+-1)+INDEX(Kernels!$G$13:$I$15,2,2)*INDEX(Datos!$B$3:$K$12,($A62+1)+0,(J$57+1)+0)+INDEX(Kernels!$G$13:$I$15,2,3)*INDEX(Datos!$B$3:$K$12,($A62+1)+0,(J$57+1)+1)+INDEX(Kernels!$G$13:$I$15,3,1)*INDEX(Datos!$B$3:$K$12,($A62+1)+1,(J$57+1)+-1)+INDEX(Kernels!$G$13:$I$15,3,2)*INDEX(Datos!$B$3:$K$12,($A62+1)+1,(J$57+1)+0)+INDEX(Kernels!$G$13:$I$15,3,3)*INDEX(Datos!$B$3:$K$12,($A62+1)+1,(J$57+1)+1)),"")</f>
        <v>99</v>
      </c>
      <c r="K62" s="9" t="str">
        <f>IF(AND($A62&gt;=1,$A62&lt;=8,K$57&gt;=1,K$57&lt;=8),ABS(INDEX(Kernels!$G$13:$I$15,1,1)*INDEX(Datos!$B$3:$K$12,($A62+1)+-1,(K$57+1)+-1)+INDEX(Kernels!$G$13:$I$15,1,2)*INDEX(Datos!$B$3:$K$12,($A62+1)+-1,(K$57+1)+0)+INDEX(Kernels!$G$13:$I$15,1,3)*INDEX(Datos!$B$3:$K$12,($A62+1)+-1,(K$57+1)+1)+INDEX(Kernels!$G$13:$I$15,2,1)*INDEX(Datos!$B$3:$K$12,($A62+1)+0,(K$57+1)+-1)+INDEX(Kernels!$G$13:$I$15,2,2)*INDEX(Datos!$B$3:$K$12,($A62+1)+0,(K$57+1)+0)+INDEX(Kernels!$G$13:$I$15,2,3)*INDEX(Datos!$B$3:$K$12,($A62+1)+0,(K$57+1)+1)+INDEX(Kernels!$G$13:$I$15,3,1)*INDEX(Datos!$B$3:$K$12,($A62+1)+1,(K$57+1)+-1)+INDEX(Kernels!$G$13:$I$15,3,2)*INDEX(Datos!$B$3:$K$12,($A62+1)+1,(K$57+1)+0)+INDEX(Kernels!$G$13:$I$15,3,3)*INDEX(Datos!$B$3:$K$12,($A62+1)+1,(K$57+1)+1)),"")</f>
        <v/>
      </c>
    </row>
    <row r="63" spans="1:11" ht="24" customHeight="1" x14ac:dyDescent="0.2">
      <c r="A63" s="10">
        <v>5</v>
      </c>
      <c r="B63" s="9" t="str">
        <f>IF(AND($A63&gt;=1,$A63&lt;=8,B$57&gt;=1,B$57&lt;=8),ABS(INDEX(Kernels!$G$13:$I$15,1,1)*INDEX(Datos!$B$3:$K$12,($A63+1)+-1,(B$57+1)+-1)+INDEX(Kernels!$G$13:$I$15,1,2)*INDEX(Datos!$B$3:$K$12,($A63+1)+-1,(B$57+1)+0)+INDEX(Kernels!$G$13:$I$15,1,3)*INDEX(Datos!$B$3:$K$12,($A63+1)+-1,(B$57+1)+1)+INDEX(Kernels!$G$13:$I$15,2,1)*INDEX(Datos!$B$3:$K$12,($A63+1)+0,(B$57+1)+-1)+INDEX(Kernels!$G$13:$I$15,2,2)*INDEX(Datos!$B$3:$K$12,($A63+1)+0,(B$57+1)+0)+INDEX(Kernels!$G$13:$I$15,2,3)*INDEX(Datos!$B$3:$K$12,($A63+1)+0,(B$57+1)+1)+INDEX(Kernels!$G$13:$I$15,3,1)*INDEX(Datos!$B$3:$K$12,($A63+1)+1,(B$57+1)+-1)+INDEX(Kernels!$G$13:$I$15,3,2)*INDEX(Datos!$B$3:$K$12,($A63+1)+1,(B$57+1)+0)+INDEX(Kernels!$G$13:$I$15,3,3)*INDEX(Datos!$B$3:$K$12,($A63+1)+1,(B$57+1)+1)),"")</f>
        <v/>
      </c>
      <c r="C63" s="9">
        <f>IF(AND($A63&gt;=1,$A63&lt;=8,C$57&gt;=1,C$57&lt;=8),ABS(INDEX(Kernels!$G$13:$I$15,1,1)*INDEX(Datos!$B$3:$K$12,($A63+1)+-1,(C$57+1)+-1)+INDEX(Kernels!$G$13:$I$15,1,2)*INDEX(Datos!$B$3:$K$12,($A63+1)+-1,(C$57+1)+0)+INDEX(Kernels!$G$13:$I$15,1,3)*INDEX(Datos!$B$3:$K$12,($A63+1)+-1,(C$57+1)+1)+INDEX(Kernels!$G$13:$I$15,2,1)*INDEX(Datos!$B$3:$K$12,($A63+1)+0,(C$57+1)+-1)+INDEX(Kernels!$G$13:$I$15,2,2)*INDEX(Datos!$B$3:$K$12,($A63+1)+0,(C$57+1)+0)+INDEX(Kernels!$G$13:$I$15,2,3)*INDEX(Datos!$B$3:$K$12,($A63+1)+0,(C$57+1)+1)+INDEX(Kernels!$G$13:$I$15,3,1)*INDEX(Datos!$B$3:$K$12,($A63+1)+1,(C$57+1)+-1)+INDEX(Kernels!$G$13:$I$15,3,2)*INDEX(Datos!$B$3:$K$12,($A63+1)+1,(C$57+1)+0)+INDEX(Kernels!$G$13:$I$15,3,3)*INDEX(Datos!$B$3:$K$12,($A63+1)+1,(C$57+1)+1)),"")</f>
        <v>214</v>
      </c>
      <c r="D63" s="9">
        <f>IF(AND($A63&gt;=1,$A63&lt;=8,D$57&gt;=1,D$57&lt;=8),ABS(INDEX(Kernels!$G$13:$I$15,1,1)*INDEX(Datos!$B$3:$K$12,($A63+1)+-1,(D$57+1)+-1)+INDEX(Kernels!$G$13:$I$15,1,2)*INDEX(Datos!$B$3:$K$12,($A63+1)+-1,(D$57+1)+0)+INDEX(Kernels!$G$13:$I$15,1,3)*INDEX(Datos!$B$3:$K$12,($A63+1)+-1,(D$57+1)+1)+INDEX(Kernels!$G$13:$I$15,2,1)*INDEX(Datos!$B$3:$K$12,($A63+1)+0,(D$57+1)+-1)+INDEX(Kernels!$G$13:$I$15,2,2)*INDEX(Datos!$B$3:$K$12,($A63+1)+0,(D$57+1)+0)+INDEX(Kernels!$G$13:$I$15,2,3)*INDEX(Datos!$B$3:$K$12,($A63+1)+0,(D$57+1)+1)+INDEX(Kernels!$G$13:$I$15,3,1)*INDEX(Datos!$B$3:$K$12,($A63+1)+1,(D$57+1)+-1)+INDEX(Kernels!$G$13:$I$15,3,2)*INDEX(Datos!$B$3:$K$12,($A63+1)+1,(D$57+1)+0)+INDEX(Kernels!$G$13:$I$15,3,3)*INDEX(Datos!$B$3:$K$12,($A63+1)+1,(D$57+1)+1)),"")</f>
        <v>56</v>
      </c>
      <c r="E63" s="9">
        <f>IF(AND($A63&gt;=1,$A63&lt;=8,E$57&gt;=1,E$57&lt;=8),ABS(INDEX(Kernels!$G$13:$I$15,1,1)*INDEX(Datos!$B$3:$K$12,($A63+1)+-1,(E$57+1)+-1)+INDEX(Kernels!$G$13:$I$15,1,2)*INDEX(Datos!$B$3:$K$12,($A63+1)+-1,(E$57+1)+0)+INDEX(Kernels!$G$13:$I$15,1,3)*INDEX(Datos!$B$3:$K$12,($A63+1)+-1,(E$57+1)+1)+INDEX(Kernels!$G$13:$I$15,2,1)*INDEX(Datos!$B$3:$K$12,($A63+1)+0,(E$57+1)+-1)+INDEX(Kernels!$G$13:$I$15,2,2)*INDEX(Datos!$B$3:$K$12,($A63+1)+0,(E$57+1)+0)+INDEX(Kernels!$G$13:$I$15,2,3)*INDEX(Datos!$B$3:$K$12,($A63+1)+0,(E$57+1)+1)+INDEX(Kernels!$G$13:$I$15,3,1)*INDEX(Datos!$B$3:$K$12,($A63+1)+1,(E$57+1)+-1)+INDEX(Kernels!$G$13:$I$15,3,2)*INDEX(Datos!$B$3:$K$12,($A63+1)+1,(E$57+1)+0)+INDEX(Kernels!$G$13:$I$15,3,3)*INDEX(Datos!$B$3:$K$12,($A63+1)+1,(E$57+1)+1)),"")</f>
        <v>96</v>
      </c>
      <c r="F63" s="9">
        <f>IF(AND($A63&gt;=1,$A63&lt;=8,F$57&gt;=1,F$57&lt;=8),ABS(INDEX(Kernels!$G$13:$I$15,1,1)*INDEX(Datos!$B$3:$K$12,($A63+1)+-1,(F$57+1)+-1)+INDEX(Kernels!$G$13:$I$15,1,2)*INDEX(Datos!$B$3:$K$12,($A63+1)+-1,(F$57+1)+0)+INDEX(Kernels!$G$13:$I$15,1,3)*INDEX(Datos!$B$3:$K$12,($A63+1)+-1,(F$57+1)+1)+INDEX(Kernels!$G$13:$I$15,2,1)*INDEX(Datos!$B$3:$K$12,($A63+1)+0,(F$57+1)+-1)+INDEX(Kernels!$G$13:$I$15,2,2)*INDEX(Datos!$B$3:$K$12,($A63+1)+0,(F$57+1)+0)+INDEX(Kernels!$G$13:$I$15,2,3)*INDEX(Datos!$B$3:$K$12,($A63+1)+0,(F$57+1)+1)+INDEX(Kernels!$G$13:$I$15,3,1)*INDEX(Datos!$B$3:$K$12,($A63+1)+1,(F$57+1)+-1)+INDEX(Kernels!$G$13:$I$15,3,2)*INDEX(Datos!$B$3:$K$12,($A63+1)+1,(F$57+1)+0)+INDEX(Kernels!$G$13:$I$15,3,3)*INDEX(Datos!$B$3:$K$12,($A63+1)+1,(F$57+1)+1)),"")</f>
        <v>168</v>
      </c>
      <c r="G63" s="9">
        <f>IF(AND($A63&gt;=1,$A63&lt;=8,G$57&gt;=1,G$57&lt;=8),ABS(INDEX(Kernels!$G$13:$I$15,1,1)*INDEX(Datos!$B$3:$K$12,($A63+1)+-1,(G$57+1)+-1)+INDEX(Kernels!$G$13:$I$15,1,2)*INDEX(Datos!$B$3:$K$12,($A63+1)+-1,(G$57+1)+0)+INDEX(Kernels!$G$13:$I$15,1,3)*INDEX(Datos!$B$3:$K$12,($A63+1)+-1,(G$57+1)+1)+INDEX(Kernels!$G$13:$I$15,2,1)*INDEX(Datos!$B$3:$K$12,($A63+1)+0,(G$57+1)+-1)+INDEX(Kernels!$G$13:$I$15,2,2)*INDEX(Datos!$B$3:$K$12,($A63+1)+0,(G$57+1)+0)+INDEX(Kernels!$G$13:$I$15,2,3)*INDEX(Datos!$B$3:$K$12,($A63+1)+0,(G$57+1)+1)+INDEX(Kernels!$G$13:$I$15,3,1)*INDEX(Datos!$B$3:$K$12,($A63+1)+1,(G$57+1)+-1)+INDEX(Kernels!$G$13:$I$15,3,2)*INDEX(Datos!$B$3:$K$12,($A63+1)+1,(G$57+1)+0)+INDEX(Kernels!$G$13:$I$15,3,3)*INDEX(Datos!$B$3:$K$12,($A63+1)+1,(G$57+1)+1)),"")</f>
        <v>129</v>
      </c>
      <c r="H63" s="9">
        <f>IF(AND($A63&gt;=1,$A63&lt;=8,H$57&gt;=1,H$57&lt;=8),ABS(INDEX(Kernels!$G$13:$I$15,1,1)*INDEX(Datos!$B$3:$K$12,($A63+1)+-1,(H$57+1)+-1)+INDEX(Kernels!$G$13:$I$15,1,2)*INDEX(Datos!$B$3:$K$12,($A63+1)+-1,(H$57+1)+0)+INDEX(Kernels!$G$13:$I$15,1,3)*INDEX(Datos!$B$3:$K$12,($A63+1)+-1,(H$57+1)+1)+INDEX(Kernels!$G$13:$I$15,2,1)*INDEX(Datos!$B$3:$K$12,($A63+1)+0,(H$57+1)+-1)+INDEX(Kernels!$G$13:$I$15,2,2)*INDEX(Datos!$B$3:$K$12,($A63+1)+0,(H$57+1)+0)+INDEX(Kernels!$G$13:$I$15,2,3)*INDEX(Datos!$B$3:$K$12,($A63+1)+0,(H$57+1)+1)+INDEX(Kernels!$G$13:$I$15,3,1)*INDEX(Datos!$B$3:$K$12,($A63+1)+1,(H$57+1)+-1)+INDEX(Kernels!$G$13:$I$15,3,2)*INDEX(Datos!$B$3:$K$12,($A63+1)+1,(H$57+1)+0)+INDEX(Kernels!$G$13:$I$15,3,3)*INDEX(Datos!$B$3:$K$12,($A63+1)+1,(H$57+1)+1)),"")</f>
        <v>21</v>
      </c>
      <c r="I63" s="9">
        <f>IF(AND($A63&gt;=1,$A63&lt;=8,I$57&gt;=1,I$57&lt;=8),ABS(INDEX(Kernels!$G$13:$I$15,1,1)*INDEX(Datos!$B$3:$K$12,($A63+1)+-1,(I$57+1)+-1)+INDEX(Kernels!$G$13:$I$15,1,2)*INDEX(Datos!$B$3:$K$12,($A63+1)+-1,(I$57+1)+0)+INDEX(Kernels!$G$13:$I$15,1,3)*INDEX(Datos!$B$3:$K$12,($A63+1)+-1,(I$57+1)+1)+INDEX(Kernels!$G$13:$I$15,2,1)*INDEX(Datos!$B$3:$K$12,($A63+1)+0,(I$57+1)+-1)+INDEX(Kernels!$G$13:$I$15,2,2)*INDEX(Datos!$B$3:$K$12,($A63+1)+0,(I$57+1)+0)+INDEX(Kernels!$G$13:$I$15,2,3)*INDEX(Datos!$B$3:$K$12,($A63+1)+0,(I$57+1)+1)+INDEX(Kernels!$G$13:$I$15,3,1)*INDEX(Datos!$B$3:$K$12,($A63+1)+1,(I$57+1)+-1)+INDEX(Kernels!$G$13:$I$15,3,2)*INDEX(Datos!$B$3:$K$12,($A63+1)+1,(I$57+1)+0)+INDEX(Kernels!$G$13:$I$15,3,3)*INDEX(Datos!$B$3:$K$12,($A63+1)+1,(I$57+1)+1)),"")</f>
        <v>8</v>
      </c>
      <c r="J63" s="9">
        <f>IF(AND($A63&gt;=1,$A63&lt;=8,J$57&gt;=1,J$57&lt;=8),ABS(INDEX(Kernels!$G$13:$I$15,1,1)*INDEX(Datos!$B$3:$K$12,($A63+1)+-1,(J$57+1)+-1)+INDEX(Kernels!$G$13:$I$15,1,2)*INDEX(Datos!$B$3:$K$12,($A63+1)+-1,(J$57+1)+0)+INDEX(Kernels!$G$13:$I$15,1,3)*INDEX(Datos!$B$3:$K$12,($A63+1)+-1,(J$57+1)+1)+INDEX(Kernels!$G$13:$I$15,2,1)*INDEX(Datos!$B$3:$K$12,($A63+1)+0,(J$57+1)+-1)+INDEX(Kernels!$G$13:$I$15,2,2)*INDEX(Datos!$B$3:$K$12,($A63+1)+0,(J$57+1)+0)+INDEX(Kernels!$G$13:$I$15,2,3)*INDEX(Datos!$B$3:$K$12,($A63+1)+0,(J$57+1)+1)+INDEX(Kernels!$G$13:$I$15,3,1)*INDEX(Datos!$B$3:$K$12,($A63+1)+1,(J$57+1)+-1)+INDEX(Kernels!$G$13:$I$15,3,2)*INDEX(Datos!$B$3:$K$12,($A63+1)+1,(J$57+1)+0)+INDEX(Kernels!$G$13:$I$15,3,3)*INDEX(Datos!$B$3:$K$12,($A63+1)+1,(J$57+1)+1)),"")</f>
        <v>62</v>
      </c>
      <c r="K63" s="9" t="str">
        <f>IF(AND($A63&gt;=1,$A63&lt;=8,K$57&gt;=1,K$57&lt;=8),ABS(INDEX(Kernels!$G$13:$I$15,1,1)*INDEX(Datos!$B$3:$K$12,($A63+1)+-1,(K$57+1)+-1)+INDEX(Kernels!$G$13:$I$15,1,2)*INDEX(Datos!$B$3:$K$12,($A63+1)+-1,(K$57+1)+0)+INDEX(Kernels!$G$13:$I$15,1,3)*INDEX(Datos!$B$3:$K$12,($A63+1)+-1,(K$57+1)+1)+INDEX(Kernels!$G$13:$I$15,2,1)*INDEX(Datos!$B$3:$K$12,($A63+1)+0,(K$57+1)+-1)+INDEX(Kernels!$G$13:$I$15,2,2)*INDEX(Datos!$B$3:$K$12,($A63+1)+0,(K$57+1)+0)+INDEX(Kernels!$G$13:$I$15,2,3)*INDEX(Datos!$B$3:$K$12,($A63+1)+0,(K$57+1)+1)+INDEX(Kernels!$G$13:$I$15,3,1)*INDEX(Datos!$B$3:$K$12,($A63+1)+1,(K$57+1)+-1)+INDEX(Kernels!$G$13:$I$15,3,2)*INDEX(Datos!$B$3:$K$12,($A63+1)+1,(K$57+1)+0)+INDEX(Kernels!$G$13:$I$15,3,3)*INDEX(Datos!$B$3:$K$12,($A63+1)+1,(K$57+1)+1)),"")</f>
        <v/>
      </c>
    </row>
    <row r="64" spans="1:11" ht="24" customHeight="1" x14ac:dyDescent="0.2">
      <c r="A64" s="10">
        <v>6</v>
      </c>
      <c r="B64" s="9" t="str">
        <f>IF(AND($A64&gt;=1,$A64&lt;=8,B$57&gt;=1,B$57&lt;=8),ABS(INDEX(Kernels!$G$13:$I$15,1,1)*INDEX(Datos!$B$3:$K$12,($A64+1)+-1,(B$57+1)+-1)+INDEX(Kernels!$G$13:$I$15,1,2)*INDEX(Datos!$B$3:$K$12,($A64+1)+-1,(B$57+1)+0)+INDEX(Kernels!$G$13:$I$15,1,3)*INDEX(Datos!$B$3:$K$12,($A64+1)+-1,(B$57+1)+1)+INDEX(Kernels!$G$13:$I$15,2,1)*INDEX(Datos!$B$3:$K$12,($A64+1)+0,(B$57+1)+-1)+INDEX(Kernels!$G$13:$I$15,2,2)*INDEX(Datos!$B$3:$K$12,($A64+1)+0,(B$57+1)+0)+INDEX(Kernels!$G$13:$I$15,2,3)*INDEX(Datos!$B$3:$K$12,($A64+1)+0,(B$57+1)+1)+INDEX(Kernels!$G$13:$I$15,3,1)*INDEX(Datos!$B$3:$K$12,($A64+1)+1,(B$57+1)+-1)+INDEX(Kernels!$G$13:$I$15,3,2)*INDEX(Datos!$B$3:$K$12,($A64+1)+1,(B$57+1)+0)+INDEX(Kernels!$G$13:$I$15,3,3)*INDEX(Datos!$B$3:$K$12,($A64+1)+1,(B$57+1)+1)),"")</f>
        <v/>
      </c>
      <c r="C64" s="9">
        <f>IF(AND($A64&gt;=1,$A64&lt;=8,C$57&gt;=1,C$57&lt;=8),ABS(INDEX(Kernels!$G$13:$I$15,1,1)*INDEX(Datos!$B$3:$K$12,($A64+1)+-1,(C$57+1)+-1)+INDEX(Kernels!$G$13:$I$15,1,2)*INDEX(Datos!$B$3:$K$12,($A64+1)+-1,(C$57+1)+0)+INDEX(Kernels!$G$13:$I$15,1,3)*INDEX(Datos!$B$3:$K$12,($A64+1)+-1,(C$57+1)+1)+INDEX(Kernels!$G$13:$I$15,2,1)*INDEX(Datos!$B$3:$K$12,($A64+1)+0,(C$57+1)+-1)+INDEX(Kernels!$G$13:$I$15,2,2)*INDEX(Datos!$B$3:$K$12,($A64+1)+0,(C$57+1)+0)+INDEX(Kernels!$G$13:$I$15,2,3)*INDEX(Datos!$B$3:$K$12,($A64+1)+0,(C$57+1)+1)+INDEX(Kernels!$G$13:$I$15,3,1)*INDEX(Datos!$B$3:$K$12,($A64+1)+1,(C$57+1)+-1)+INDEX(Kernels!$G$13:$I$15,3,2)*INDEX(Datos!$B$3:$K$12,($A64+1)+1,(C$57+1)+0)+INDEX(Kernels!$G$13:$I$15,3,3)*INDEX(Datos!$B$3:$K$12,($A64+1)+1,(C$57+1)+1)),"")</f>
        <v>139</v>
      </c>
      <c r="D64" s="9">
        <f>IF(AND($A64&gt;=1,$A64&lt;=8,D$57&gt;=1,D$57&lt;=8),ABS(INDEX(Kernels!$G$13:$I$15,1,1)*INDEX(Datos!$B$3:$K$12,($A64+1)+-1,(D$57+1)+-1)+INDEX(Kernels!$G$13:$I$15,1,2)*INDEX(Datos!$B$3:$K$12,($A64+1)+-1,(D$57+1)+0)+INDEX(Kernels!$G$13:$I$15,1,3)*INDEX(Datos!$B$3:$K$12,($A64+1)+-1,(D$57+1)+1)+INDEX(Kernels!$G$13:$I$15,2,1)*INDEX(Datos!$B$3:$K$12,($A64+1)+0,(D$57+1)+-1)+INDEX(Kernels!$G$13:$I$15,2,2)*INDEX(Datos!$B$3:$K$12,($A64+1)+0,(D$57+1)+0)+INDEX(Kernels!$G$13:$I$15,2,3)*INDEX(Datos!$B$3:$K$12,($A64+1)+0,(D$57+1)+1)+INDEX(Kernels!$G$13:$I$15,3,1)*INDEX(Datos!$B$3:$K$12,($A64+1)+1,(D$57+1)+-1)+INDEX(Kernels!$G$13:$I$15,3,2)*INDEX(Datos!$B$3:$K$12,($A64+1)+1,(D$57+1)+0)+INDEX(Kernels!$G$13:$I$15,3,3)*INDEX(Datos!$B$3:$K$12,($A64+1)+1,(D$57+1)+1)),"")</f>
        <v>4</v>
      </c>
      <c r="E64" s="9">
        <f>IF(AND($A64&gt;=1,$A64&lt;=8,E$57&gt;=1,E$57&lt;=8),ABS(INDEX(Kernels!$G$13:$I$15,1,1)*INDEX(Datos!$B$3:$K$12,($A64+1)+-1,(E$57+1)+-1)+INDEX(Kernels!$G$13:$I$15,1,2)*INDEX(Datos!$B$3:$K$12,($A64+1)+-1,(E$57+1)+0)+INDEX(Kernels!$G$13:$I$15,1,3)*INDEX(Datos!$B$3:$K$12,($A64+1)+-1,(E$57+1)+1)+INDEX(Kernels!$G$13:$I$15,2,1)*INDEX(Datos!$B$3:$K$12,($A64+1)+0,(E$57+1)+-1)+INDEX(Kernels!$G$13:$I$15,2,2)*INDEX(Datos!$B$3:$K$12,($A64+1)+0,(E$57+1)+0)+INDEX(Kernels!$G$13:$I$15,2,3)*INDEX(Datos!$B$3:$K$12,($A64+1)+0,(E$57+1)+1)+INDEX(Kernels!$G$13:$I$15,3,1)*INDEX(Datos!$B$3:$K$12,($A64+1)+1,(E$57+1)+-1)+INDEX(Kernels!$G$13:$I$15,3,2)*INDEX(Datos!$B$3:$K$12,($A64+1)+1,(E$57+1)+0)+INDEX(Kernels!$G$13:$I$15,3,3)*INDEX(Datos!$B$3:$K$12,($A64+1)+1,(E$57+1)+1)),"")</f>
        <v>64</v>
      </c>
      <c r="F64" s="9">
        <f>IF(AND($A64&gt;=1,$A64&lt;=8,F$57&gt;=1,F$57&lt;=8),ABS(INDEX(Kernels!$G$13:$I$15,1,1)*INDEX(Datos!$B$3:$K$12,($A64+1)+-1,(F$57+1)+-1)+INDEX(Kernels!$G$13:$I$15,1,2)*INDEX(Datos!$B$3:$K$12,($A64+1)+-1,(F$57+1)+0)+INDEX(Kernels!$G$13:$I$15,1,3)*INDEX(Datos!$B$3:$K$12,($A64+1)+-1,(F$57+1)+1)+INDEX(Kernels!$G$13:$I$15,2,1)*INDEX(Datos!$B$3:$K$12,($A64+1)+0,(F$57+1)+-1)+INDEX(Kernels!$G$13:$I$15,2,2)*INDEX(Datos!$B$3:$K$12,($A64+1)+0,(F$57+1)+0)+INDEX(Kernels!$G$13:$I$15,2,3)*INDEX(Datos!$B$3:$K$12,($A64+1)+0,(F$57+1)+1)+INDEX(Kernels!$G$13:$I$15,3,1)*INDEX(Datos!$B$3:$K$12,($A64+1)+1,(F$57+1)+-1)+INDEX(Kernels!$G$13:$I$15,3,2)*INDEX(Datos!$B$3:$K$12,($A64+1)+1,(F$57+1)+0)+INDEX(Kernels!$G$13:$I$15,3,3)*INDEX(Datos!$B$3:$K$12,($A64+1)+1,(F$57+1)+1)),"")</f>
        <v>39</v>
      </c>
      <c r="G64" s="9">
        <f>IF(AND($A64&gt;=1,$A64&lt;=8,G$57&gt;=1,G$57&lt;=8),ABS(INDEX(Kernels!$G$13:$I$15,1,1)*INDEX(Datos!$B$3:$K$12,($A64+1)+-1,(G$57+1)+-1)+INDEX(Kernels!$G$13:$I$15,1,2)*INDEX(Datos!$B$3:$K$12,($A64+1)+-1,(G$57+1)+0)+INDEX(Kernels!$G$13:$I$15,1,3)*INDEX(Datos!$B$3:$K$12,($A64+1)+-1,(G$57+1)+1)+INDEX(Kernels!$G$13:$I$15,2,1)*INDEX(Datos!$B$3:$K$12,($A64+1)+0,(G$57+1)+-1)+INDEX(Kernels!$G$13:$I$15,2,2)*INDEX(Datos!$B$3:$K$12,($A64+1)+0,(G$57+1)+0)+INDEX(Kernels!$G$13:$I$15,2,3)*INDEX(Datos!$B$3:$K$12,($A64+1)+0,(G$57+1)+1)+INDEX(Kernels!$G$13:$I$15,3,1)*INDEX(Datos!$B$3:$K$12,($A64+1)+1,(G$57+1)+-1)+INDEX(Kernels!$G$13:$I$15,3,2)*INDEX(Datos!$B$3:$K$12,($A64+1)+1,(G$57+1)+0)+INDEX(Kernels!$G$13:$I$15,3,3)*INDEX(Datos!$B$3:$K$12,($A64+1)+1,(G$57+1)+1)),"")</f>
        <v>34</v>
      </c>
      <c r="H64" s="9">
        <f>IF(AND($A64&gt;=1,$A64&lt;=8,H$57&gt;=1,H$57&lt;=8),ABS(INDEX(Kernels!$G$13:$I$15,1,1)*INDEX(Datos!$B$3:$K$12,($A64+1)+-1,(H$57+1)+-1)+INDEX(Kernels!$G$13:$I$15,1,2)*INDEX(Datos!$B$3:$K$12,($A64+1)+-1,(H$57+1)+0)+INDEX(Kernels!$G$13:$I$15,1,3)*INDEX(Datos!$B$3:$K$12,($A64+1)+-1,(H$57+1)+1)+INDEX(Kernels!$G$13:$I$15,2,1)*INDEX(Datos!$B$3:$K$12,($A64+1)+0,(H$57+1)+-1)+INDEX(Kernels!$G$13:$I$15,2,2)*INDEX(Datos!$B$3:$K$12,($A64+1)+0,(H$57+1)+0)+INDEX(Kernels!$G$13:$I$15,2,3)*INDEX(Datos!$B$3:$K$12,($A64+1)+0,(H$57+1)+1)+INDEX(Kernels!$G$13:$I$15,3,1)*INDEX(Datos!$B$3:$K$12,($A64+1)+1,(H$57+1)+-1)+INDEX(Kernels!$G$13:$I$15,3,2)*INDEX(Datos!$B$3:$K$12,($A64+1)+1,(H$57+1)+0)+INDEX(Kernels!$G$13:$I$15,3,3)*INDEX(Datos!$B$3:$K$12,($A64+1)+1,(H$57+1)+1)),"")</f>
        <v>97</v>
      </c>
      <c r="I64" s="9">
        <f>IF(AND($A64&gt;=1,$A64&lt;=8,I$57&gt;=1,I$57&lt;=8),ABS(INDEX(Kernels!$G$13:$I$15,1,1)*INDEX(Datos!$B$3:$K$12,($A64+1)+-1,(I$57+1)+-1)+INDEX(Kernels!$G$13:$I$15,1,2)*INDEX(Datos!$B$3:$K$12,($A64+1)+-1,(I$57+1)+0)+INDEX(Kernels!$G$13:$I$15,1,3)*INDEX(Datos!$B$3:$K$12,($A64+1)+-1,(I$57+1)+1)+INDEX(Kernels!$G$13:$I$15,2,1)*INDEX(Datos!$B$3:$K$12,($A64+1)+0,(I$57+1)+-1)+INDEX(Kernels!$G$13:$I$15,2,2)*INDEX(Datos!$B$3:$K$12,($A64+1)+0,(I$57+1)+0)+INDEX(Kernels!$G$13:$I$15,2,3)*INDEX(Datos!$B$3:$K$12,($A64+1)+0,(I$57+1)+1)+INDEX(Kernels!$G$13:$I$15,3,1)*INDEX(Datos!$B$3:$K$12,($A64+1)+1,(I$57+1)+-1)+INDEX(Kernels!$G$13:$I$15,3,2)*INDEX(Datos!$B$3:$K$12,($A64+1)+1,(I$57+1)+0)+INDEX(Kernels!$G$13:$I$15,3,3)*INDEX(Datos!$B$3:$K$12,($A64+1)+1,(I$57+1)+1)),"")</f>
        <v>65</v>
      </c>
      <c r="J64" s="9">
        <f>IF(AND($A64&gt;=1,$A64&lt;=8,J$57&gt;=1,J$57&lt;=8),ABS(INDEX(Kernels!$G$13:$I$15,1,1)*INDEX(Datos!$B$3:$K$12,($A64+1)+-1,(J$57+1)+-1)+INDEX(Kernels!$G$13:$I$15,1,2)*INDEX(Datos!$B$3:$K$12,($A64+1)+-1,(J$57+1)+0)+INDEX(Kernels!$G$13:$I$15,1,3)*INDEX(Datos!$B$3:$K$12,($A64+1)+-1,(J$57+1)+1)+INDEX(Kernels!$G$13:$I$15,2,1)*INDEX(Datos!$B$3:$K$12,($A64+1)+0,(J$57+1)+-1)+INDEX(Kernels!$G$13:$I$15,2,2)*INDEX(Datos!$B$3:$K$12,($A64+1)+0,(J$57+1)+0)+INDEX(Kernels!$G$13:$I$15,2,3)*INDEX(Datos!$B$3:$K$12,($A64+1)+0,(J$57+1)+1)+INDEX(Kernels!$G$13:$I$15,3,1)*INDEX(Datos!$B$3:$K$12,($A64+1)+1,(J$57+1)+-1)+INDEX(Kernels!$G$13:$I$15,3,2)*INDEX(Datos!$B$3:$K$12,($A64+1)+1,(J$57+1)+0)+INDEX(Kernels!$G$13:$I$15,3,3)*INDEX(Datos!$B$3:$K$12,($A64+1)+1,(J$57+1)+1)),"")</f>
        <v>12</v>
      </c>
      <c r="K64" s="9" t="str">
        <f>IF(AND($A64&gt;=1,$A64&lt;=8,K$57&gt;=1,K$57&lt;=8),ABS(INDEX(Kernels!$G$13:$I$15,1,1)*INDEX(Datos!$B$3:$K$12,($A64+1)+-1,(K$57+1)+-1)+INDEX(Kernels!$G$13:$I$15,1,2)*INDEX(Datos!$B$3:$K$12,($A64+1)+-1,(K$57+1)+0)+INDEX(Kernels!$G$13:$I$15,1,3)*INDEX(Datos!$B$3:$K$12,($A64+1)+-1,(K$57+1)+1)+INDEX(Kernels!$G$13:$I$15,2,1)*INDEX(Datos!$B$3:$K$12,($A64+1)+0,(K$57+1)+-1)+INDEX(Kernels!$G$13:$I$15,2,2)*INDEX(Datos!$B$3:$K$12,($A64+1)+0,(K$57+1)+0)+INDEX(Kernels!$G$13:$I$15,2,3)*INDEX(Datos!$B$3:$K$12,($A64+1)+0,(K$57+1)+1)+INDEX(Kernels!$G$13:$I$15,3,1)*INDEX(Datos!$B$3:$K$12,($A64+1)+1,(K$57+1)+-1)+INDEX(Kernels!$G$13:$I$15,3,2)*INDEX(Datos!$B$3:$K$12,($A64+1)+1,(K$57+1)+0)+INDEX(Kernels!$G$13:$I$15,3,3)*INDEX(Datos!$B$3:$K$12,($A64+1)+1,(K$57+1)+1)),"")</f>
        <v/>
      </c>
    </row>
    <row r="65" spans="1:11" ht="24" customHeight="1" x14ac:dyDescent="0.2">
      <c r="A65" s="10">
        <v>7</v>
      </c>
      <c r="B65" s="9" t="str">
        <f>IF(AND($A65&gt;=1,$A65&lt;=8,B$57&gt;=1,B$57&lt;=8),ABS(INDEX(Kernels!$G$13:$I$15,1,1)*INDEX(Datos!$B$3:$K$12,($A65+1)+-1,(B$57+1)+-1)+INDEX(Kernels!$G$13:$I$15,1,2)*INDEX(Datos!$B$3:$K$12,($A65+1)+-1,(B$57+1)+0)+INDEX(Kernels!$G$13:$I$15,1,3)*INDEX(Datos!$B$3:$K$12,($A65+1)+-1,(B$57+1)+1)+INDEX(Kernels!$G$13:$I$15,2,1)*INDEX(Datos!$B$3:$K$12,($A65+1)+0,(B$57+1)+-1)+INDEX(Kernels!$G$13:$I$15,2,2)*INDEX(Datos!$B$3:$K$12,($A65+1)+0,(B$57+1)+0)+INDEX(Kernels!$G$13:$I$15,2,3)*INDEX(Datos!$B$3:$K$12,($A65+1)+0,(B$57+1)+1)+INDEX(Kernels!$G$13:$I$15,3,1)*INDEX(Datos!$B$3:$K$12,($A65+1)+1,(B$57+1)+-1)+INDEX(Kernels!$G$13:$I$15,3,2)*INDEX(Datos!$B$3:$K$12,($A65+1)+1,(B$57+1)+0)+INDEX(Kernels!$G$13:$I$15,3,3)*INDEX(Datos!$B$3:$K$12,($A65+1)+1,(B$57+1)+1)),"")</f>
        <v/>
      </c>
      <c r="C65" s="9">
        <f>IF(AND($A65&gt;=1,$A65&lt;=8,C$57&gt;=1,C$57&lt;=8),ABS(INDEX(Kernels!$G$13:$I$15,1,1)*INDEX(Datos!$B$3:$K$12,($A65+1)+-1,(C$57+1)+-1)+INDEX(Kernels!$G$13:$I$15,1,2)*INDEX(Datos!$B$3:$K$12,($A65+1)+-1,(C$57+1)+0)+INDEX(Kernels!$G$13:$I$15,1,3)*INDEX(Datos!$B$3:$K$12,($A65+1)+-1,(C$57+1)+1)+INDEX(Kernels!$G$13:$I$15,2,1)*INDEX(Datos!$B$3:$K$12,($A65+1)+0,(C$57+1)+-1)+INDEX(Kernels!$G$13:$I$15,2,2)*INDEX(Datos!$B$3:$K$12,($A65+1)+0,(C$57+1)+0)+INDEX(Kernels!$G$13:$I$15,2,3)*INDEX(Datos!$B$3:$K$12,($A65+1)+0,(C$57+1)+1)+INDEX(Kernels!$G$13:$I$15,3,1)*INDEX(Datos!$B$3:$K$12,($A65+1)+1,(C$57+1)+-1)+INDEX(Kernels!$G$13:$I$15,3,2)*INDEX(Datos!$B$3:$K$12,($A65+1)+1,(C$57+1)+0)+INDEX(Kernels!$G$13:$I$15,3,3)*INDEX(Datos!$B$3:$K$12,($A65+1)+1,(C$57+1)+1)),"")</f>
        <v>38</v>
      </c>
      <c r="D65" s="9">
        <f>IF(AND($A65&gt;=1,$A65&lt;=8,D$57&gt;=1,D$57&lt;=8),ABS(INDEX(Kernels!$G$13:$I$15,1,1)*INDEX(Datos!$B$3:$K$12,($A65+1)+-1,(D$57+1)+-1)+INDEX(Kernels!$G$13:$I$15,1,2)*INDEX(Datos!$B$3:$K$12,($A65+1)+-1,(D$57+1)+0)+INDEX(Kernels!$G$13:$I$15,1,3)*INDEX(Datos!$B$3:$K$12,($A65+1)+-1,(D$57+1)+1)+INDEX(Kernels!$G$13:$I$15,2,1)*INDEX(Datos!$B$3:$K$12,($A65+1)+0,(D$57+1)+-1)+INDEX(Kernels!$G$13:$I$15,2,2)*INDEX(Datos!$B$3:$K$12,($A65+1)+0,(D$57+1)+0)+INDEX(Kernels!$G$13:$I$15,2,3)*INDEX(Datos!$B$3:$K$12,($A65+1)+0,(D$57+1)+1)+INDEX(Kernels!$G$13:$I$15,3,1)*INDEX(Datos!$B$3:$K$12,($A65+1)+1,(D$57+1)+-1)+INDEX(Kernels!$G$13:$I$15,3,2)*INDEX(Datos!$B$3:$K$12,($A65+1)+1,(D$57+1)+0)+INDEX(Kernels!$G$13:$I$15,3,3)*INDEX(Datos!$B$3:$K$12,($A65+1)+1,(D$57+1)+1)),"")</f>
        <v>74</v>
      </c>
      <c r="E65" s="9">
        <f>IF(AND($A65&gt;=1,$A65&lt;=8,E$57&gt;=1,E$57&lt;=8),ABS(INDEX(Kernels!$G$13:$I$15,1,1)*INDEX(Datos!$B$3:$K$12,($A65+1)+-1,(E$57+1)+-1)+INDEX(Kernels!$G$13:$I$15,1,2)*INDEX(Datos!$B$3:$K$12,($A65+1)+-1,(E$57+1)+0)+INDEX(Kernels!$G$13:$I$15,1,3)*INDEX(Datos!$B$3:$K$12,($A65+1)+-1,(E$57+1)+1)+INDEX(Kernels!$G$13:$I$15,2,1)*INDEX(Datos!$B$3:$K$12,($A65+1)+0,(E$57+1)+-1)+INDEX(Kernels!$G$13:$I$15,2,2)*INDEX(Datos!$B$3:$K$12,($A65+1)+0,(E$57+1)+0)+INDEX(Kernels!$G$13:$I$15,2,3)*INDEX(Datos!$B$3:$K$12,($A65+1)+0,(E$57+1)+1)+INDEX(Kernels!$G$13:$I$15,3,1)*INDEX(Datos!$B$3:$K$12,($A65+1)+1,(E$57+1)+-1)+INDEX(Kernels!$G$13:$I$15,3,2)*INDEX(Datos!$B$3:$K$12,($A65+1)+1,(E$57+1)+0)+INDEX(Kernels!$G$13:$I$15,3,3)*INDEX(Datos!$B$3:$K$12,($A65+1)+1,(E$57+1)+1)),"")</f>
        <v>119</v>
      </c>
      <c r="F65" s="9">
        <f>IF(AND($A65&gt;=1,$A65&lt;=8,F$57&gt;=1,F$57&lt;=8),ABS(INDEX(Kernels!$G$13:$I$15,1,1)*INDEX(Datos!$B$3:$K$12,($A65+1)+-1,(F$57+1)+-1)+INDEX(Kernels!$G$13:$I$15,1,2)*INDEX(Datos!$B$3:$K$12,($A65+1)+-1,(F$57+1)+0)+INDEX(Kernels!$G$13:$I$15,1,3)*INDEX(Datos!$B$3:$K$12,($A65+1)+-1,(F$57+1)+1)+INDEX(Kernels!$G$13:$I$15,2,1)*INDEX(Datos!$B$3:$K$12,($A65+1)+0,(F$57+1)+-1)+INDEX(Kernels!$G$13:$I$15,2,2)*INDEX(Datos!$B$3:$K$12,($A65+1)+0,(F$57+1)+0)+INDEX(Kernels!$G$13:$I$15,2,3)*INDEX(Datos!$B$3:$K$12,($A65+1)+0,(F$57+1)+1)+INDEX(Kernels!$G$13:$I$15,3,1)*INDEX(Datos!$B$3:$K$12,($A65+1)+1,(F$57+1)+-1)+INDEX(Kernels!$G$13:$I$15,3,2)*INDEX(Datos!$B$3:$K$12,($A65+1)+1,(F$57+1)+0)+INDEX(Kernels!$G$13:$I$15,3,3)*INDEX(Datos!$B$3:$K$12,($A65+1)+1,(F$57+1)+1)),"")</f>
        <v>132</v>
      </c>
      <c r="G65" s="9">
        <f>IF(AND($A65&gt;=1,$A65&lt;=8,G$57&gt;=1,G$57&lt;=8),ABS(INDEX(Kernels!$G$13:$I$15,1,1)*INDEX(Datos!$B$3:$K$12,($A65+1)+-1,(G$57+1)+-1)+INDEX(Kernels!$G$13:$I$15,1,2)*INDEX(Datos!$B$3:$K$12,($A65+1)+-1,(G$57+1)+0)+INDEX(Kernels!$G$13:$I$15,1,3)*INDEX(Datos!$B$3:$K$12,($A65+1)+-1,(G$57+1)+1)+INDEX(Kernels!$G$13:$I$15,2,1)*INDEX(Datos!$B$3:$K$12,($A65+1)+0,(G$57+1)+-1)+INDEX(Kernels!$G$13:$I$15,2,2)*INDEX(Datos!$B$3:$K$12,($A65+1)+0,(G$57+1)+0)+INDEX(Kernels!$G$13:$I$15,2,3)*INDEX(Datos!$B$3:$K$12,($A65+1)+0,(G$57+1)+1)+INDEX(Kernels!$G$13:$I$15,3,1)*INDEX(Datos!$B$3:$K$12,($A65+1)+1,(G$57+1)+-1)+INDEX(Kernels!$G$13:$I$15,3,2)*INDEX(Datos!$B$3:$K$12,($A65+1)+1,(G$57+1)+0)+INDEX(Kernels!$G$13:$I$15,3,3)*INDEX(Datos!$B$3:$K$12,($A65+1)+1,(G$57+1)+1)),"")</f>
        <v>134</v>
      </c>
      <c r="H65" s="9">
        <f>IF(AND($A65&gt;=1,$A65&lt;=8,H$57&gt;=1,H$57&lt;=8),ABS(INDEX(Kernels!$G$13:$I$15,1,1)*INDEX(Datos!$B$3:$K$12,($A65+1)+-1,(H$57+1)+-1)+INDEX(Kernels!$G$13:$I$15,1,2)*INDEX(Datos!$B$3:$K$12,($A65+1)+-1,(H$57+1)+0)+INDEX(Kernels!$G$13:$I$15,1,3)*INDEX(Datos!$B$3:$K$12,($A65+1)+-1,(H$57+1)+1)+INDEX(Kernels!$G$13:$I$15,2,1)*INDEX(Datos!$B$3:$K$12,($A65+1)+0,(H$57+1)+-1)+INDEX(Kernels!$G$13:$I$15,2,2)*INDEX(Datos!$B$3:$K$12,($A65+1)+0,(H$57+1)+0)+INDEX(Kernels!$G$13:$I$15,2,3)*INDEX(Datos!$B$3:$K$12,($A65+1)+0,(H$57+1)+1)+INDEX(Kernels!$G$13:$I$15,3,1)*INDEX(Datos!$B$3:$K$12,($A65+1)+1,(H$57+1)+-1)+INDEX(Kernels!$G$13:$I$15,3,2)*INDEX(Datos!$B$3:$K$12,($A65+1)+1,(H$57+1)+0)+INDEX(Kernels!$G$13:$I$15,3,3)*INDEX(Datos!$B$3:$K$12,($A65+1)+1,(H$57+1)+1)),"")</f>
        <v>71</v>
      </c>
      <c r="I65" s="9">
        <f>IF(AND($A65&gt;=1,$A65&lt;=8,I$57&gt;=1,I$57&lt;=8),ABS(INDEX(Kernels!$G$13:$I$15,1,1)*INDEX(Datos!$B$3:$K$12,($A65+1)+-1,(I$57+1)+-1)+INDEX(Kernels!$G$13:$I$15,1,2)*INDEX(Datos!$B$3:$K$12,($A65+1)+-1,(I$57+1)+0)+INDEX(Kernels!$G$13:$I$15,1,3)*INDEX(Datos!$B$3:$K$12,($A65+1)+-1,(I$57+1)+1)+INDEX(Kernels!$G$13:$I$15,2,1)*INDEX(Datos!$B$3:$K$12,($A65+1)+0,(I$57+1)+-1)+INDEX(Kernels!$G$13:$I$15,2,2)*INDEX(Datos!$B$3:$K$12,($A65+1)+0,(I$57+1)+0)+INDEX(Kernels!$G$13:$I$15,2,3)*INDEX(Datos!$B$3:$K$12,($A65+1)+0,(I$57+1)+1)+INDEX(Kernels!$G$13:$I$15,3,1)*INDEX(Datos!$B$3:$K$12,($A65+1)+1,(I$57+1)+-1)+INDEX(Kernels!$G$13:$I$15,3,2)*INDEX(Datos!$B$3:$K$12,($A65+1)+1,(I$57+1)+0)+INDEX(Kernels!$G$13:$I$15,3,3)*INDEX(Datos!$B$3:$K$12,($A65+1)+1,(I$57+1)+1)),"")</f>
        <v>18</v>
      </c>
      <c r="J65" s="9">
        <f>IF(AND($A65&gt;=1,$A65&lt;=8,J$57&gt;=1,J$57&lt;=8),ABS(INDEX(Kernels!$G$13:$I$15,1,1)*INDEX(Datos!$B$3:$K$12,($A65+1)+-1,(J$57+1)+-1)+INDEX(Kernels!$G$13:$I$15,1,2)*INDEX(Datos!$B$3:$K$12,($A65+1)+-1,(J$57+1)+0)+INDEX(Kernels!$G$13:$I$15,1,3)*INDEX(Datos!$B$3:$K$12,($A65+1)+-1,(J$57+1)+1)+INDEX(Kernels!$G$13:$I$15,2,1)*INDEX(Datos!$B$3:$K$12,($A65+1)+0,(J$57+1)+-1)+INDEX(Kernels!$G$13:$I$15,2,2)*INDEX(Datos!$B$3:$K$12,($A65+1)+0,(J$57+1)+0)+INDEX(Kernels!$G$13:$I$15,2,3)*INDEX(Datos!$B$3:$K$12,($A65+1)+0,(J$57+1)+1)+INDEX(Kernels!$G$13:$I$15,3,1)*INDEX(Datos!$B$3:$K$12,($A65+1)+1,(J$57+1)+-1)+INDEX(Kernels!$G$13:$I$15,3,2)*INDEX(Datos!$B$3:$K$12,($A65+1)+1,(J$57+1)+0)+INDEX(Kernels!$G$13:$I$15,3,3)*INDEX(Datos!$B$3:$K$12,($A65+1)+1,(J$57+1)+1)),"")</f>
        <v>91</v>
      </c>
      <c r="K65" s="9" t="str">
        <f>IF(AND($A65&gt;=1,$A65&lt;=8,K$57&gt;=1,K$57&lt;=8),ABS(INDEX(Kernels!$G$13:$I$15,1,1)*INDEX(Datos!$B$3:$K$12,($A65+1)+-1,(K$57+1)+-1)+INDEX(Kernels!$G$13:$I$15,1,2)*INDEX(Datos!$B$3:$K$12,($A65+1)+-1,(K$57+1)+0)+INDEX(Kernels!$G$13:$I$15,1,3)*INDEX(Datos!$B$3:$K$12,($A65+1)+-1,(K$57+1)+1)+INDEX(Kernels!$G$13:$I$15,2,1)*INDEX(Datos!$B$3:$K$12,($A65+1)+0,(K$57+1)+-1)+INDEX(Kernels!$G$13:$I$15,2,2)*INDEX(Datos!$B$3:$K$12,($A65+1)+0,(K$57+1)+0)+INDEX(Kernels!$G$13:$I$15,2,3)*INDEX(Datos!$B$3:$K$12,($A65+1)+0,(K$57+1)+1)+INDEX(Kernels!$G$13:$I$15,3,1)*INDEX(Datos!$B$3:$K$12,($A65+1)+1,(K$57+1)+-1)+INDEX(Kernels!$G$13:$I$15,3,2)*INDEX(Datos!$B$3:$K$12,($A65+1)+1,(K$57+1)+0)+INDEX(Kernels!$G$13:$I$15,3,3)*INDEX(Datos!$B$3:$K$12,($A65+1)+1,(K$57+1)+1)),"")</f>
        <v/>
      </c>
    </row>
    <row r="66" spans="1:11" ht="24" customHeight="1" x14ac:dyDescent="0.2">
      <c r="A66" s="10">
        <v>8</v>
      </c>
      <c r="B66" s="9" t="str">
        <f>IF(AND($A66&gt;=1,$A66&lt;=8,B$57&gt;=1,B$57&lt;=8),ABS(INDEX(Kernels!$G$13:$I$15,1,1)*INDEX(Datos!$B$3:$K$12,($A66+1)+-1,(B$57+1)+-1)+INDEX(Kernels!$G$13:$I$15,1,2)*INDEX(Datos!$B$3:$K$12,($A66+1)+-1,(B$57+1)+0)+INDEX(Kernels!$G$13:$I$15,1,3)*INDEX(Datos!$B$3:$K$12,($A66+1)+-1,(B$57+1)+1)+INDEX(Kernels!$G$13:$I$15,2,1)*INDEX(Datos!$B$3:$K$12,($A66+1)+0,(B$57+1)+-1)+INDEX(Kernels!$G$13:$I$15,2,2)*INDEX(Datos!$B$3:$K$12,($A66+1)+0,(B$57+1)+0)+INDEX(Kernels!$G$13:$I$15,2,3)*INDEX(Datos!$B$3:$K$12,($A66+1)+0,(B$57+1)+1)+INDEX(Kernels!$G$13:$I$15,3,1)*INDEX(Datos!$B$3:$K$12,($A66+1)+1,(B$57+1)+-1)+INDEX(Kernels!$G$13:$I$15,3,2)*INDEX(Datos!$B$3:$K$12,($A66+1)+1,(B$57+1)+0)+INDEX(Kernels!$G$13:$I$15,3,3)*INDEX(Datos!$B$3:$K$12,($A66+1)+1,(B$57+1)+1)),"")</f>
        <v/>
      </c>
      <c r="C66" s="9">
        <f>IF(AND($A66&gt;=1,$A66&lt;=8,C$57&gt;=1,C$57&lt;=8),ABS(INDEX(Kernels!$G$13:$I$15,1,1)*INDEX(Datos!$B$3:$K$12,($A66+1)+-1,(C$57+1)+-1)+INDEX(Kernels!$G$13:$I$15,1,2)*INDEX(Datos!$B$3:$K$12,($A66+1)+-1,(C$57+1)+0)+INDEX(Kernels!$G$13:$I$15,1,3)*INDEX(Datos!$B$3:$K$12,($A66+1)+-1,(C$57+1)+1)+INDEX(Kernels!$G$13:$I$15,2,1)*INDEX(Datos!$B$3:$K$12,($A66+1)+0,(C$57+1)+-1)+INDEX(Kernels!$G$13:$I$15,2,2)*INDEX(Datos!$B$3:$K$12,($A66+1)+0,(C$57+1)+0)+INDEX(Kernels!$G$13:$I$15,2,3)*INDEX(Datos!$B$3:$K$12,($A66+1)+0,(C$57+1)+1)+INDEX(Kernels!$G$13:$I$15,3,1)*INDEX(Datos!$B$3:$K$12,($A66+1)+1,(C$57+1)+-1)+INDEX(Kernels!$G$13:$I$15,3,2)*INDEX(Datos!$B$3:$K$12,($A66+1)+1,(C$57+1)+0)+INDEX(Kernels!$G$13:$I$15,3,3)*INDEX(Datos!$B$3:$K$12,($A66+1)+1,(C$57+1)+1)),"")</f>
        <v>111</v>
      </c>
      <c r="D66" s="9">
        <f>IF(AND($A66&gt;=1,$A66&lt;=8,D$57&gt;=1,D$57&lt;=8),ABS(INDEX(Kernels!$G$13:$I$15,1,1)*INDEX(Datos!$B$3:$K$12,($A66+1)+-1,(D$57+1)+-1)+INDEX(Kernels!$G$13:$I$15,1,2)*INDEX(Datos!$B$3:$K$12,($A66+1)+-1,(D$57+1)+0)+INDEX(Kernels!$G$13:$I$15,1,3)*INDEX(Datos!$B$3:$K$12,($A66+1)+-1,(D$57+1)+1)+INDEX(Kernels!$G$13:$I$15,2,1)*INDEX(Datos!$B$3:$K$12,($A66+1)+0,(D$57+1)+-1)+INDEX(Kernels!$G$13:$I$15,2,2)*INDEX(Datos!$B$3:$K$12,($A66+1)+0,(D$57+1)+0)+INDEX(Kernels!$G$13:$I$15,2,3)*INDEX(Datos!$B$3:$K$12,($A66+1)+0,(D$57+1)+1)+INDEX(Kernels!$G$13:$I$15,3,1)*INDEX(Datos!$B$3:$K$12,($A66+1)+1,(D$57+1)+-1)+INDEX(Kernels!$G$13:$I$15,3,2)*INDEX(Datos!$B$3:$K$12,($A66+1)+1,(D$57+1)+0)+INDEX(Kernels!$G$13:$I$15,3,3)*INDEX(Datos!$B$3:$K$12,($A66+1)+1,(D$57+1)+1)),"")</f>
        <v>13</v>
      </c>
      <c r="E66" s="9">
        <f>IF(AND($A66&gt;=1,$A66&lt;=8,E$57&gt;=1,E$57&lt;=8),ABS(INDEX(Kernels!$G$13:$I$15,1,1)*INDEX(Datos!$B$3:$K$12,($A66+1)+-1,(E$57+1)+-1)+INDEX(Kernels!$G$13:$I$15,1,2)*INDEX(Datos!$B$3:$K$12,($A66+1)+-1,(E$57+1)+0)+INDEX(Kernels!$G$13:$I$15,1,3)*INDEX(Datos!$B$3:$K$12,($A66+1)+-1,(E$57+1)+1)+INDEX(Kernels!$G$13:$I$15,2,1)*INDEX(Datos!$B$3:$K$12,($A66+1)+0,(E$57+1)+-1)+INDEX(Kernels!$G$13:$I$15,2,2)*INDEX(Datos!$B$3:$K$12,($A66+1)+0,(E$57+1)+0)+INDEX(Kernels!$G$13:$I$15,2,3)*INDEX(Datos!$B$3:$K$12,($A66+1)+0,(E$57+1)+1)+INDEX(Kernels!$G$13:$I$15,3,1)*INDEX(Datos!$B$3:$K$12,($A66+1)+1,(E$57+1)+-1)+INDEX(Kernels!$G$13:$I$15,3,2)*INDEX(Datos!$B$3:$K$12,($A66+1)+1,(E$57+1)+0)+INDEX(Kernels!$G$13:$I$15,3,3)*INDEX(Datos!$B$3:$K$12,($A66+1)+1,(E$57+1)+1)),"")</f>
        <v>133</v>
      </c>
      <c r="F66" s="9">
        <f>IF(AND($A66&gt;=1,$A66&lt;=8,F$57&gt;=1,F$57&lt;=8),ABS(INDEX(Kernels!$G$13:$I$15,1,1)*INDEX(Datos!$B$3:$K$12,($A66+1)+-1,(F$57+1)+-1)+INDEX(Kernels!$G$13:$I$15,1,2)*INDEX(Datos!$B$3:$K$12,($A66+1)+-1,(F$57+1)+0)+INDEX(Kernels!$G$13:$I$15,1,3)*INDEX(Datos!$B$3:$K$12,($A66+1)+-1,(F$57+1)+1)+INDEX(Kernels!$G$13:$I$15,2,1)*INDEX(Datos!$B$3:$K$12,($A66+1)+0,(F$57+1)+-1)+INDEX(Kernels!$G$13:$I$15,2,2)*INDEX(Datos!$B$3:$K$12,($A66+1)+0,(F$57+1)+0)+INDEX(Kernels!$G$13:$I$15,2,3)*INDEX(Datos!$B$3:$K$12,($A66+1)+0,(F$57+1)+1)+INDEX(Kernels!$G$13:$I$15,3,1)*INDEX(Datos!$B$3:$K$12,($A66+1)+1,(F$57+1)+-1)+INDEX(Kernels!$G$13:$I$15,3,2)*INDEX(Datos!$B$3:$K$12,($A66+1)+1,(F$57+1)+0)+INDEX(Kernels!$G$13:$I$15,3,3)*INDEX(Datos!$B$3:$K$12,($A66+1)+1,(F$57+1)+1)),"")</f>
        <v>157</v>
      </c>
      <c r="G66" s="9">
        <f>IF(AND($A66&gt;=1,$A66&lt;=8,G$57&gt;=1,G$57&lt;=8),ABS(INDEX(Kernels!$G$13:$I$15,1,1)*INDEX(Datos!$B$3:$K$12,($A66+1)+-1,(G$57+1)+-1)+INDEX(Kernels!$G$13:$I$15,1,2)*INDEX(Datos!$B$3:$K$12,($A66+1)+-1,(G$57+1)+0)+INDEX(Kernels!$G$13:$I$15,1,3)*INDEX(Datos!$B$3:$K$12,($A66+1)+-1,(G$57+1)+1)+INDEX(Kernels!$G$13:$I$15,2,1)*INDEX(Datos!$B$3:$K$12,($A66+1)+0,(G$57+1)+-1)+INDEX(Kernels!$G$13:$I$15,2,2)*INDEX(Datos!$B$3:$K$12,($A66+1)+0,(G$57+1)+0)+INDEX(Kernels!$G$13:$I$15,2,3)*INDEX(Datos!$B$3:$K$12,($A66+1)+0,(G$57+1)+1)+INDEX(Kernels!$G$13:$I$15,3,1)*INDEX(Datos!$B$3:$K$12,($A66+1)+1,(G$57+1)+-1)+INDEX(Kernels!$G$13:$I$15,3,2)*INDEX(Datos!$B$3:$K$12,($A66+1)+1,(G$57+1)+0)+INDEX(Kernels!$G$13:$I$15,3,3)*INDEX(Datos!$B$3:$K$12,($A66+1)+1,(G$57+1)+1)),"")</f>
        <v>115</v>
      </c>
      <c r="H66" s="9">
        <f>IF(AND($A66&gt;=1,$A66&lt;=8,H$57&gt;=1,H$57&lt;=8),ABS(INDEX(Kernels!$G$13:$I$15,1,1)*INDEX(Datos!$B$3:$K$12,($A66+1)+-1,(H$57+1)+-1)+INDEX(Kernels!$G$13:$I$15,1,2)*INDEX(Datos!$B$3:$K$12,($A66+1)+-1,(H$57+1)+0)+INDEX(Kernels!$G$13:$I$15,1,3)*INDEX(Datos!$B$3:$K$12,($A66+1)+-1,(H$57+1)+1)+INDEX(Kernels!$G$13:$I$15,2,1)*INDEX(Datos!$B$3:$K$12,($A66+1)+0,(H$57+1)+-1)+INDEX(Kernels!$G$13:$I$15,2,2)*INDEX(Datos!$B$3:$K$12,($A66+1)+0,(H$57+1)+0)+INDEX(Kernels!$G$13:$I$15,2,3)*INDEX(Datos!$B$3:$K$12,($A66+1)+0,(H$57+1)+1)+INDEX(Kernels!$G$13:$I$15,3,1)*INDEX(Datos!$B$3:$K$12,($A66+1)+1,(H$57+1)+-1)+INDEX(Kernels!$G$13:$I$15,3,2)*INDEX(Datos!$B$3:$K$12,($A66+1)+1,(H$57+1)+0)+INDEX(Kernels!$G$13:$I$15,3,3)*INDEX(Datos!$B$3:$K$12,($A66+1)+1,(H$57+1)+1)),"")</f>
        <v>16</v>
      </c>
      <c r="I66" s="9">
        <f>IF(AND($A66&gt;=1,$A66&lt;=8,I$57&gt;=1,I$57&lt;=8),ABS(INDEX(Kernels!$G$13:$I$15,1,1)*INDEX(Datos!$B$3:$K$12,($A66+1)+-1,(I$57+1)+-1)+INDEX(Kernels!$G$13:$I$15,1,2)*INDEX(Datos!$B$3:$K$12,($A66+1)+-1,(I$57+1)+0)+INDEX(Kernels!$G$13:$I$15,1,3)*INDEX(Datos!$B$3:$K$12,($A66+1)+-1,(I$57+1)+1)+INDEX(Kernels!$G$13:$I$15,2,1)*INDEX(Datos!$B$3:$K$12,($A66+1)+0,(I$57+1)+-1)+INDEX(Kernels!$G$13:$I$15,2,2)*INDEX(Datos!$B$3:$K$12,($A66+1)+0,(I$57+1)+0)+INDEX(Kernels!$G$13:$I$15,2,3)*INDEX(Datos!$B$3:$K$12,($A66+1)+0,(I$57+1)+1)+INDEX(Kernels!$G$13:$I$15,3,1)*INDEX(Datos!$B$3:$K$12,($A66+1)+1,(I$57+1)+-1)+INDEX(Kernels!$G$13:$I$15,3,2)*INDEX(Datos!$B$3:$K$12,($A66+1)+1,(I$57+1)+0)+INDEX(Kernels!$G$13:$I$15,3,3)*INDEX(Datos!$B$3:$K$12,($A66+1)+1,(I$57+1)+1)),"")</f>
        <v>40</v>
      </c>
      <c r="J66" s="9">
        <f>IF(AND($A66&gt;=1,$A66&lt;=8,J$57&gt;=1,J$57&lt;=8),ABS(INDEX(Kernels!$G$13:$I$15,1,1)*INDEX(Datos!$B$3:$K$12,($A66+1)+-1,(J$57+1)+-1)+INDEX(Kernels!$G$13:$I$15,1,2)*INDEX(Datos!$B$3:$K$12,($A66+1)+-1,(J$57+1)+0)+INDEX(Kernels!$G$13:$I$15,1,3)*INDEX(Datos!$B$3:$K$12,($A66+1)+-1,(J$57+1)+1)+INDEX(Kernels!$G$13:$I$15,2,1)*INDEX(Datos!$B$3:$K$12,($A66+1)+0,(J$57+1)+-1)+INDEX(Kernels!$G$13:$I$15,2,2)*INDEX(Datos!$B$3:$K$12,($A66+1)+0,(J$57+1)+0)+INDEX(Kernels!$G$13:$I$15,2,3)*INDEX(Datos!$B$3:$K$12,($A66+1)+0,(J$57+1)+1)+INDEX(Kernels!$G$13:$I$15,3,1)*INDEX(Datos!$B$3:$K$12,($A66+1)+1,(J$57+1)+-1)+INDEX(Kernels!$G$13:$I$15,3,2)*INDEX(Datos!$B$3:$K$12,($A66+1)+1,(J$57+1)+0)+INDEX(Kernels!$G$13:$I$15,3,3)*INDEX(Datos!$B$3:$K$12,($A66+1)+1,(J$57+1)+1)),"")</f>
        <v>1</v>
      </c>
      <c r="K66" s="9" t="str">
        <f>IF(AND($A66&gt;=1,$A66&lt;=8,K$57&gt;=1,K$57&lt;=8),ABS(INDEX(Kernels!$G$13:$I$15,1,1)*INDEX(Datos!$B$3:$K$12,($A66+1)+-1,(K$57+1)+-1)+INDEX(Kernels!$G$13:$I$15,1,2)*INDEX(Datos!$B$3:$K$12,($A66+1)+-1,(K$57+1)+0)+INDEX(Kernels!$G$13:$I$15,1,3)*INDEX(Datos!$B$3:$K$12,($A66+1)+-1,(K$57+1)+1)+INDEX(Kernels!$G$13:$I$15,2,1)*INDEX(Datos!$B$3:$K$12,($A66+1)+0,(K$57+1)+-1)+INDEX(Kernels!$G$13:$I$15,2,2)*INDEX(Datos!$B$3:$K$12,($A66+1)+0,(K$57+1)+0)+INDEX(Kernels!$G$13:$I$15,2,3)*INDEX(Datos!$B$3:$K$12,($A66+1)+0,(K$57+1)+1)+INDEX(Kernels!$G$13:$I$15,3,1)*INDEX(Datos!$B$3:$K$12,($A66+1)+1,(K$57+1)+-1)+INDEX(Kernels!$G$13:$I$15,3,2)*INDEX(Datos!$B$3:$K$12,($A66+1)+1,(K$57+1)+0)+INDEX(Kernels!$G$13:$I$15,3,3)*INDEX(Datos!$B$3:$K$12,($A66+1)+1,(K$57+1)+1)),"")</f>
        <v/>
      </c>
    </row>
    <row r="67" spans="1:11" ht="24" customHeight="1" x14ac:dyDescent="0.2">
      <c r="A67" s="10">
        <v>9</v>
      </c>
      <c r="B67" s="9" t="str">
        <f>IF(AND($A67&gt;=1,$A67&lt;=8,B$57&gt;=1,B$57&lt;=8),ABS(INDEX(Kernels!$G$13:$I$15,1,1)*INDEX(Datos!$B$3:$K$12,($A67+1)+-1,(B$57+1)+-1)+INDEX(Kernels!$G$13:$I$15,1,2)*INDEX(Datos!$B$3:$K$12,($A67+1)+-1,(B$57+1)+0)+INDEX(Kernels!$G$13:$I$15,1,3)*INDEX(Datos!$B$3:$K$12,($A67+1)+-1,(B$57+1)+1)+INDEX(Kernels!$G$13:$I$15,2,1)*INDEX(Datos!$B$3:$K$12,($A67+1)+0,(B$57+1)+-1)+INDEX(Kernels!$G$13:$I$15,2,2)*INDEX(Datos!$B$3:$K$12,($A67+1)+0,(B$57+1)+0)+INDEX(Kernels!$G$13:$I$15,2,3)*INDEX(Datos!$B$3:$K$12,($A67+1)+0,(B$57+1)+1)+INDEX(Kernels!$G$13:$I$15,3,1)*INDEX(Datos!$B$3:$K$12,($A67+1)+1,(B$57+1)+-1)+INDEX(Kernels!$G$13:$I$15,3,2)*INDEX(Datos!$B$3:$K$12,($A67+1)+1,(B$57+1)+0)+INDEX(Kernels!$G$13:$I$15,3,3)*INDEX(Datos!$B$3:$K$12,($A67+1)+1,(B$57+1)+1)),"")</f>
        <v/>
      </c>
      <c r="C67" s="9" t="str">
        <f>IF(AND($A67&gt;=1,$A67&lt;=8,C$57&gt;=1,C$57&lt;=8),ABS(INDEX(Kernels!$G$13:$I$15,1,1)*INDEX(Datos!$B$3:$K$12,($A67+1)+-1,(C$57+1)+-1)+INDEX(Kernels!$G$13:$I$15,1,2)*INDEX(Datos!$B$3:$K$12,($A67+1)+-1,(C$57+1)+0)+INDEX(Kernels!$G$13:$I$15,1,3)*INDEX(Datos!$B$3:$K$12,($A67+1)+-1,(C$57+1)+1)+INDEX(Kernels!$G$13:$I$15,2,1)*INDEX(Datos!$B$3:$K$12,($A67+1)+0,(C$57+1)+-1)+INDEX(Kernels!$G$13:$I$15,2,2)*INDEX(Datos!$B$3:$K$12,($A67+1)+0,(C$57+1)+0)+INDEX(Kernels!$G$13:$I$15,2,3)*INDEX(Datos!$B$3:$K$12,($A67+1)+0,(C$57+1)+1)+INDEX(Kernels!$G$13:$I$15,3,1)*INDEX(Datos!$B$3:$K$12,($A67+1)+1,(C$57+1)+-1)+INDEX(Kernels!$G$13:$I$15,3,2)*INDEX(Datos!$B$3:$K$12,($A67+1)+1,(C$57+1)+0)+INDEX(Kernels!$G$13:$I$15,3,3)*INDEX(Datos!$B$3:$K$12,($A67+1)+1,(C$57+1)+1)),"")</f>
        <v/>
      </c>
      <c r="D67" s="9" t="str">
        <f>IF(AND($A67&gt;=1,$A67&lt;=8,D$57&gt;=1,D$57&lt;=8),ABS(INDEX(Kernels!$G$13:$I$15,1,1)*INDEX(Datos!$B$3:$K$12,($A67+1)+-1,(D$57+1)+-1)+INDEX(Kernels!$G$13:$I$15,1,2)*INDEX(Datos!$B$3:$K$12,($A67+1)+-1,(D$57+1)+0)+INDEX(Kernels!$G$13:$I$15,1,3)*INDEX(Datos!$B$3:$K$12,($A67+1)+-1,(D$57+1)+1)+INDEX(Kernels!$G$13:$I$15,2,1)*INDEX(Datos!$B$3:$K$12,($A67+1)+0,(D$57+1)+-1)+INDEX(Kernels!$G$13:$I$15,2,2)*INDEX(Datos!$B$3:$K$12,($A67+1)+0,(D$57+1)+0)+INDEX(Kernels!$G$13:$I$15,2,3)*INDEX(Datos!$B$3:$K$12,($A67+1)+0,(D$57+1)+1)+INDEX(Kernels!$G$13:$I$15,3,1)*INDEX(Datos!$B$3:$K$12,($A67+1)+1,(D$57+1)+-1)+INDEX(Kernels!$G$13:$I$15,3,2)*INDEX(Datos!$B$3:$K$12,($A67+1)+1,(D$57+1)+0)+INDEX(Kernels!$G$13:$I$15,3,3)*INDEX(Datos!$B$3:$K$12,($A67+1)+1,(D$57+1)+1)),"")</f>
        <v/>
      </c>
      <c r="E67" s="9" t="str">
        <f>IF(AND($A67&gt;=1,$A67&lt;=8,E$57&gt;=1,E$57&lt;=8),ABS(INDEX(Kernels!$G$13:$I$15,1,1)*INDEX(Datos!$B$3:$K$12,($A67+1)+-1,(E$57+1)+-1)+INDEX(Kernels!$G$13:$I$15,1,2)*INDEX(Datos!$B$3:$K$12,($A67+1)+-1,(E$57+1)+0)+INDEX(Kernels!$G$13:$I$15,1,3)*INDEX(Datos!$B$3:$K$12,($A67+1)+-1,(E$57+1)+1)+INDEX(Kernels!$G$13:$I$15,2,1)*INDEX(Datos!$B$3:$K$12,($A67+1)+0,(E$57+1)+-1)+INDEX(Kernels!$G$13:$I$15,2,2)*INDEX(Datos!$B$3:$K$12,($A67+1)+0,(E$57+1)+0)+INDEX(Kernels!$G$13:$I$15,2,3)*INDEX(Datos!$B$3:$K$12,($A67+1)+0,(E$57+1)+1)+INDEX(Kernels!$G$13:$I$15,3,1)*INDEX(Datos!$B$3:$K$12,($A67+1)+1,(E$57+1)+-1)+INDEX(Kernels!$G$13:$I$15,3,2)*INDEX(Datos!$B$3:$K$12,($A67+1)+1,(E$57+1)+0)+INDEX(Kernels!$G$13:$I$15,3,3)*INDEX(Datos!$B$3:$K$12,($A67+1)+1,(E$57+1)+1)),"")</f>
        <v/>
      </c>
      <c r="F67" s="9" t="str">
        <f>IF(AND($A67&gt;=1,$A67&lt;=8,F$57&gt;=1,F$57&lt;=8),ABS(INDEX(Kernels!$G$13:$I$15,1,1)*INDEX(Datos!$B$3:$K$12,($A67+1)+-1,(F$57+1)+-1)+INDEX(Kernels!$G$13:$I$15,1,2)*INDEX(Datos!$B$3:$K$12,($A67+1)+-1,(F$57+1)+0)+INDEX(Kernels!$G$13:$I$15,1,3)*INDEX(Datos!$B$3:$K$12,($A67+1)+-1,(F$57+1)+1)+INDEX(Kernels!$G$13:$I$15,2,1)*INDEX(Datos!$B$3:$K$12,($A67+1)+0,(F$57+1)+-1)+INDEX(Kernels!$G$13:$I$15,2,2)*INDEX(Datos!$B$3:$K$12,($A67+1)+0,(F$57+1)+0)+INDEX(Kernels!$G$13:$I$15,2,3)*INDEX(Datos!$B$3:$K$12,($A67+1)+0,(F$57+1)+1)+INDEX(Kernels!$G$13:$I$15,3,1)*INDEX(Datos!$B$3:$K$12,($A67+1)+1,(F$57+1)+-1)+INDEX(Kernels!$G$13:$I$15,3,2)*INDEX(Datos!$B$3:$K$12,($A67+1)+1,(F$57+1)+0)+INDEX(Kernels!$G$13:$I$15,3,3)*INDEX(Datos!$B$3:$K$12,($A67+1)+1,(F$57+1)+1)),"")</f>
        <v/>
      </c>
      <c r="G67" s="9" t="str">
        <f>IF(AND($A67&gt;=1,$A67&lt;=8,G$57&gt;=1,G$57&lt;=8),ABS(INDEX(Kernels!$G$13:$I$15,1,1)*INDEX(Datos!$B$3:$K$12,($A67+1)+-1,(G$57+1)+-1)+INDEX(Kernels!$G$13:$I$15,1,2)*INDEX(Datos!$B$3:$K$12,($A67+1)+-1,(G$57+1)+0)+INDEX(Kernels!$G$13:$I$15,1,3)*INDEX(Datos!$B$3:$K$12,($A67+1)+-1,(G$57+1)+1)+INDEX(Kernels!$G$13:$I$15,2,1)*INDEX(Datos!$B$3:$K$12,($A67+1)+0,(G$57+1)+-1)+INDEX(Kernels!$G$13:$I$15,2,2)*INDEX(Datos!$B$3:$K$12,($A67+1)+0,(G$57+1)+0)+INDEX(Kernels!$G$13:$I$15,2,3)*INDEX(Datos!$B$3:$K$12,($A67+1)+0,(G$57+1)+1)+INDEX(Kernels!$G$13:$I$15,3,1)*INDEX(Datos!$B$3:$K$12,($A67+1)+1,(G$57+1)+-1)+INDEX(Kernels!$G$13:$I$15,3,2)*INDEX(Datos!$B$3:$K$12,($A67+1)+1,(G$57+1)+0)+INDEX(Kernels!$G$13:$I$15,3,3)*INDEX(Datos!$B$3:$K$12,($A67+1)+1,(G$57+1)+1)),"")</f>
        <v/>
      </c>
      <c r="H67" s="9" t="str">
        <f>IF(AND($A67&gt;=1,$A67&lt;=8,H$57&gt;=1,H$57&lt;=8),ABS(INDEX(Kernels!$G$13:$I$15,1,1)*INDEX(Datos!$B$3:$K$12,($A67+1)+-1,(H$57+1)+-1)+INDEX(Kernels!$G$13:$I$15,1,2)*INDEX(Datos!$B$3:$K$12,($A67+1)+-1,(H$57+1)+0)+INDEX(Kernels!$G$13:$I$15,1,3)*INDEX(Datos!$B$3:$K$12,($A67+1)+-1,(H$57+1)+1)+INDEX(Kernels!$G$13:$I$15,2,1)*INDEX(Datos!$B$3:$K$12,($A67+1)+0,(H$57+1)+-1)+INDEX(Kernels!$G$13:$I$15,2,2)*INDEX(Datos!$B$3:$K$12,($A67+1)+0,(H$57+1)+0)+INDEX(Kernels!$G$13:$I$15,2,3)*INDEX(Datos!$B$3:$K$12,($A67+1)+0,(H$57+1)+1)+INDEX(Kernels!$G$13:$I$15,3,1)*INDEX(Datos!$B$3:$K$12,($A67+1)+1,(H$57+1)+-1)+INDEX(Kernels!$G$13:$I$15,3,2)*INDEX(Datos!$B$3:$K$12,($A67+1)+1,(H$57+1)+0)+INDEX(Kernels!$G$13:$I$15,3,3)*INDEX(Datos!$B$3:$K$12,($A67+1)+1,(H$57+1)+1)),"")</f>
        <v/>
      </c>
      <c r="I67" s="9" t="str">
        <f>IF(AND($A67&gt;=1,$A67&lt;=8,I$57&gt;=1,I$57&lt;=8),ABS(INDEX(Kernels!$G$13:$I$15,1,1)*INDEX(Datos!$B$3:$K$12,($A67+1)+-1,(I$57+1)+-1)+INDEX(Kernels!$G$13:$I$15,1,2)*INDEX(Datos!$B$3:$K$12,($A67+1)+-1,(I$57+1)+0)+INDEX(Kernels!$G$13:$I$15,1,3)*INDEX(Datos!$B$3:$K$12,($A67+1)+-1,(I$57+1)+1)+INDEX(Kernels!$G$13:$I$15,2,1)*INDEX(Datos!$B$3:$K$12,($A67+1)+0,(I$57+1)+-1)+INDEX(Kernels!$G$13:$I$15,2,2)*INDEX(Datos!$B$3:$K$12,($A67+1)+0,(I$57+1)+0)+INDEX(Kernels!$G$13:$I$15,2,3)*INDEX(Datos!$B$3:$K$12,($A67+1)+0,(I$57+1)+1)+INDEX(Kernels!$G$13:$I$15,3,1)*INDEX(Datos!$B$3:$K$12,($A67+1)+1,(I$57+1)+-1)+INDEX(Kernels!$G$13:$I$15,3,2)*INDEX(Datos!$B$3:$K$12,($A67+1)+1,(I$57+1)+0)+INDEX(Kernels!$G$13:$I$15,3,3)*INDEX(Datos!$B$3:$K$12,($A67+1)+1,(I$57+1)+1)),"")</f>
        <v/>
      </c>
      <c r="J67" s="9" t="str">
        <f>IF(AND($A67&gt;=1,$A67&lt;=8,J$57&gt;=1,J$57&lt;=8),ABS(INDEX(Kernels!$G$13:$I$15,1,1)*INDEX(Datos!$B$3:$K$12,($A67+1)+-1,(J$57+1)+-1)+INDEX(Kernels!$G$13:$I$15,1,2)*INDEX(Datos!$B$3:$K$12,($A67+1)+-1,(J$57+1)+0)+INDEX(Kernels!$G$13:$I$15,1,3)*INDEX(Datos!$B$3:$K$12,($A67+1)+-1,(J$57+1)+1)+INDEX(Kernels!$G$13:$I$15,2,1)*INDEX(Datos!$B$3:$K$12,($A67+1)+0,(J$57+1)+-1)+INDEX(Kernels!$G$13:$I$15,2,2)*INDEX(Datos!$B$3:$K$12,($A67+1)+0,(J$57+1)+0)+INDEX(Kernels!$G$13:$I$15,2,3)*INDEX(Datos!$B$3:$K$12,($A67+1)+0,(J$57+1)+1)+INDEX(Kernels!$G$13:$I$15,3,1)*INDEX(Datos!$B$3:$K$12,($A67+1)+1,(J$57+1)+-1)+INDEX(Kernels!$G$13:$I$15,3,2)*INDEX(Datos!$B$3:$K$12,($A67+1)+1,(J$57+1)+0)+INDEX(Kernels!$G$13:$I$15,3,3)*INDEX(Datos!$B$3:$K$12,($A67+1)+1,(J$57+1)+1)),"")</f>
        <v/>
      </c>
      <c r="K67" s="9" t="str">
        <f>IF(AND($A67&gt;=1,$A67&lt;=8,K$57&gt;=1,K$57&lt;=8),ABS(INDEX(Kernels!$G$13:$I$15,1,1)*INDEX(Datos!$B$3:$K$12,($A67+1)+-1,(K$57+1)+-1)+INDEX(Kernels!$G$13:$I$15,1,2)*INDEX(Datos!$B$3:$K$12,($A67+1)+-1,(K$57+1)+0)+INDEX(Kernels!$G$13:$I$15,1,3)*INDEX(Datos!$B$3:$K$12,($A67+1)+-1,(K$57+1)+1)+INDEX(Kernels!$G$13:$I$15,2,1)*INDEX(Datos!$B$3:$K$12,($A67+1)+0,(K$57+1)+-1)+INDEX(Kernels!$G$13:$I$15,2,2)*INDEX(Datos!$B$3:$K$12,($A67+1)+0,(K$57+1)+0)+INDEX(Kernels!$G$13:$I$15,2,3)*INDEX(Datos!$B$3:$K$12,($A67+1)+0,(K$57+1)+1)+INDEX(Kernels!$G$13:$I$15,3,1)*INDEX(Datos!$B$3:$K$12,($A67+1)+1,(K$57+1)+-1)+INDEX(Kernels!$G$13:$I$15,3,2)*INDEX(Datos!$B$3:$K$12,($A67+1)+1,(K$57+1)+0)+INDEX(Kernels!$G$13:$I$15,3,3)*INDEX(Datos!$B$3:$K$12,($A67+1)+1,(K$57+1)+1)),"")</f>
        <v/>
      </c>
    </row>
    <row r="68" spans="1:11" ht="24" customHeight="1" x14ac:dyDescent="0.2"/>
    <row r="69" spans="1:11" ht="24" customHeight="1" x14ac:dyDescent="0.2"/>
    <row r="70" spans="1:11" ht="24" customHeight="1" x14ac:dyDescent="0.2">
      <c r="A70" s="16" t="s">
        <v>33</v>
      </c>
      <c r="B70" s="12"/>
      <c r="C70" s="12"/>
      <c r="D70" s="12"/>
      <c r="E70" s="12"/>
      <c r="F70" s="12"/>
      <c r="G70" s="12"/>
      <c r="H70" s="12"/>
      <c r="I70" s="12"/>
      <c r="J70" s="12"/>
      <c r="K70" s="12"/>
    </row>
    <row r="71" spans="1:11" ht="24" customHeight="1" x14ac:dyDescent="0.2">
      <c r="A71" s="10" t="s">
        <v>1</v>
      </c>
      <c r="B71" s="10">
        <v>0</v>
      </c>
      <c r="C71" s="10">
        <v>1</v>
      </c>
      <c r="D71" s="10">
        <v>2</v>
      </c>
      <c r="E71" s="10">
        <v>3</v>
      </c>
      <c r="F71" s="10">
        <v>4</v>
      </c>
      <c r="G71" s="10">
        <v>5</v>
      </c>
      <c r="H71" s="10">
        <v>6</v>
      </c>
      <c r="I71" s="10">
        <v>7</v>
      </c>
      <c r="J71" s="10">
        <v>8</v>
      </c>
      <c r="K71" s="10">
        <v>9</v>
      </c>
    </row>
    <row r="72" spans="1:11" ht="24" customHeight="1" x14ac:dyDescent="0.2">
      <c r="A72" s="10">
        <v>0</v>
      </c>
      <c r="B72" s="9" t="str">
        <f>IF(AND($A72&gt;=1,$A72&lt;=8,B$71&gt;=1,B$71&lt;=8),INDEX(Kernels!$B$21:$D$23,1,1)*INDEX(Datos!$B$3:$K$12,($A72+1)+-1,(B$71+1)+-1)+INDEX(Kernels!$B$21:$D$23,1,2)*INDEX(Datos!$B$3:$K$12,($A72+1)+-1,(B$71+1)+0)+INDEX(Kernels!$B$21:$D$23,1,3)*INDEX(Datos!$B$3:$K$12,($A72+1)+-1,(B$71+1)+1)+INDEX(Kernels!$B$21:$D$23,2,1)*INDEX(Datos!$B$3:$K$12,($A72+1)+0,(B$71+1)+-1)+INDEX(Kernels!$B$21:$D$23,2,2)*INDEX(Datos!$B$3:$K$12,($A72+1)+0,(B$71+1)+0)+INDEX(Kernels!$B$21:$D$23,2,3)*INDEX(Datos!$B$3:$K$12,($A72+1)+0,(B$71+1)+1)+INDEX(Kernels!$B$21:$D$23,3,1)*INDEX(Datos!$B$3:$K$12,($A72+1)+1,(B$71+1)+-1)+INDEX(Kernels!$B$21:$D$23,3,2)*INDEX(Datos!$B$3:$K$12,($A72+1)+1,(B$71+1)+0)+INDEX(Kernels!$B$21:$D$23,3,3)*INDEX(Datos!$B$3:$K$12,($A72+1)+1,(B$71+1)+1),"")</f>
        <v/>
      </c>
      <c r="C72" s="9" t="str">
        <f>IF(AND($A72&gt;=1,$A72&lt;=8,C$71&gt;=1,C$71&lt;=8),INDEX(Kernels!$B$21:$D$23,1,1)*INDEX(Datos!$B$3:$K$12,($A72+1)+-1,(C$71+1)+-1)+INDEX(Kernels!$B$21:$D$23,1,2)*INDEX(Datos!$B$3:$K$12,($A72+1)+-1,(C$71+1)+0)+INDEX(Kernels!$B$21:$D$23,1,3)*INDEX(Datos!$B$3:$K$12,($A72+1)+-1,(C$71+1)+1)+INDEX(Kernels!$B$21:$D$23,2,1)*INDEX(Datos!$B$3:$K$12,($A72+1)+0,(C$71+1)+-1)+INDEX(Kernels!$B$21:$D$23,2,2)*INDEX(Datos!$B$3:$K$12,($A72+1)+0,(C$71+1)+0)+INDEX(Kernels!$B$21:$D$23,2,3)*INDEX(Datos!$B$3:$K$12,($A72+1)+0,(C$71+1)+1)+INDEX(Kernels!$B$21:$D$23,3,1)*INDEX(Datos!$B$3:$K$12,($A72+1)+1,(C$71+1)+-1)+INDEX(Kernels!$B$21:$D$23,3,2)*INDEX(Datos!$B$3:$K$12,($A72+1)+1,(C$71+1)+0)+INDEX(Kernels!$B$21:$D$23,3,3)*INDEX(Datos!$B$3:$K$12,($A72+1)+1,(C$71+1)+1),"")</f>
        <v/>
      </c>
      <c r="D72" s="9" t="str">
        <f>IF(AND($A72&gt;=1,$A72&lt;=8,D$71&gt;=1,D$71&lt;=8),INDEX(Kernels!$B$21:$D$23,1,1)*INDEX(Datos!$B$3:$K$12,($A72+1)+-1,(D$71+1)+-1)+INDEX(Kernels!$B$21:$D$23,1,2)*INDEX(Datos!$B$3:$K$12,($A72+1)+-1,(D$71+1)+0)+INDEX(Kernels!$B$21:$D$23,1,3)*INDEX(Datos!$B$3:$K$12,($A72+1)+-1,(D$71+1)+1)+INDEX(Kernels!$B$21:$D$23,2,1)*INDEX(Datos!$B$3:$K$12,($A72+1)+0,(D$71+1)+-1)+INDEX(Kernels!$B$21:$D$23,2,2)*INDEX(Datos!$B$3:$K$12,($A72+1)+0,(D$71+1)+0)+INDEX(Kernels!$B$21:$D$23,2,3)*INDEX(Datos!$B$3:$K$12,($A72+1)+0,(D$71+1)+1)+INDEX(Kernels!$B$21:$D$23,3,1)*INDEX(Datos!$B$3:$K$12,($A72+1)+1,(D$71+1)+-1)+INDEX(Kernels!$B$21:$D$23,3,2)*INDEX(Datos!$B$3:$K$12,($A72+1)+1,(D$71+1)+0)+INDEX(Kernels!$B$21:$D$23,3,3)*INDEX(Datos!$B$3:$K$12,($A72+1)+1,(D$71+1)+1),"")</f>
        <v/>
      </c>
      <c r="E72" s="9" t="str">
        <f>IF(AND($A72&gt;=1,$A72&lt;=8,E$71&gt;=1,E$71&lt;=8),INDEX(Kernels!$B$21:$D$23,1,1)*INDEX(Datos!$B$3:$K$12,($A72+1)+-1,(E$71+1)+-1)+INDEX(Kernels!$B$21:$D$23,1,2)*INDEX(Datos!$B$3:$K$12,($A72+1)+-1,(E$71+1)+0)+INDEX(Kernels!$B$21:$D$23,1,3)*INDEX(Datos!$B$3:$K$12,($A72+1)+-1,(E$71+1)+1)+INDEX(Kernels!$B$21:$D$23,2,1)*INDEX(Datos!$B$3:$K$12,($A72+1)+0,(E$71+1)+-1)+INDEX(Kernels!$B$21:$D$23,2,2)*INDEX(Datos!$B$3:$K$12,($A72+1)+0,(E$71+1)+0)+INDEX(Kernels!$B$21:$D$23,2,3)*INDEX(Datos!$B$3:$K$12,($A72+1)+0,(E$71+1)+1)+INDEX(Kernels!$B$21:$D$23,3,1)*INDEX(Datos!$B$3:$K$12,($A72+1)+1,(E$71+1)+-1)+INDEX(Kernels!$B$21:$D$23,3,2)*INDEX(Datos!$B$3:$K$12,($A72+1)+1,(E$71+1)+0)+INDEX(Kernels!$B$21:$D$23,3,3)*INDEX(Datos!$B$3:$K$12,($A72+1)+1,(E$71+1)+1),"")</f>
        <v/>
      </c>
      <c r="F72" s="9" t="str">
        <f>IF(AND($A72&gt;=1,$A72&lt;=8,F$71&gt;=1,F$71&lt;=8),INDEX(Kernels!$B$21:$D$23,1,1)*INDEX(Datos!$B$3:$K$12,($A72+1)+-1,(F$71+1)+-1)+INDEX(Kernels!$B$21:$D$23,1,2)*INDEX(Datos!$B$3:$K$12,($A72+1)+-1,(F$71+1)+0)+INDEX(Kernels!$B$21:$D$23,1,3)*INDEX(Datos!$B$3:$K$12,($A72+1)+-1,(F$71+1)+1)+INDEX(Kernels!$B$21:$D$23,2,1)*INDEX(Datos!$B$3:$K$12,($A72+1)+0,(F$71+1)+-1)+INDEX(Kernels!$B$21:$D$23,2,2)*INDEX(Datos!$B$3:$K$12,($A72+1)+0,(F$71+1)+0)+INDEX(Kernels!$B$21:$D$23,2,3)*INDEX(Datos!$B$3:$K$12,($A72+1)+0,(F$71+1)+1)+INDEX(Kernels!$B$21:$D$23,3,1)*INDEX(Datos!$B$3:$K$12,($A72+1)+1,(F$71+1)+-1)+INDEX(Kernels!$B$21:$D$23,3,2)*INDEX(Datos!$B$3:$K$12,($A72+1)+1,(F$71+1)+0)+INDEX(Kernels!$B$21:$D$23,3,3)*INDEX(Datos!$B$3:$K$12,($A72+1)+1,(F$71+1)+1),"")</f>
        <v/>
      </c>
      <c r="G72" s="9" t="str">
        <f>IF(AND($A72&gt;=1,$A72&lt;=8,G$71&gt;=1,G$71&lt;=8),INDEX(Kernels!$B$21:$D$23,1,1)*INDEX(Datos!$B$3:$K$12,($A72+1)+-1,(G$71+1)+-1)+INDEX(Kernels!$B$21:$D$23,1,2)*INDEX(Datos!$B$3:$K$12,($A72+1)+-1,(G$71+1)+0)+INDEX(Kernels!$B$21:$D$23,1,3)*INDEX(Datos!$B$3:$K$12,($A72+1)+-1,(G$71+1)+1)+INDEX(Kernels!$B$21:$D$23,2,1)*INDEX(Datos!$B$3:$K$12,($A72+1)+0,(G$71+1)+-1)+INDEX(Kernels!$B$21:$D$23,2,2)*INDEX(Datos!$B$3:$K$12,($A72+1)+0,(G$71+1)+0)+INDEX(Kernels!$B$21:$D$23,2,3)*INDEX(Datos!$B$3:$K$12,($A72+1)+0,(G$71+1)+1)+INDEX(Kernels!$B$21:$D$23,3,1)*INDEX(Datos!$B$3:$K$12,($A72+1)+1,(G$71+1)+-1)+INDEX(Kernels!$B$21:$D$23,3,2)*INDEX(Datos!$B$3:$K$12,($A72+1)+1,(G$71+1)+0)+INDEX(Kernels!$B$21:$D$23,3,3)*INDEX(Datos!$B$3:$K$12,($A72+1)+1,(G$71+1)+1),"")</f>
        <v/>
      </c>
      <c r="H72" s="9" t="str">
        <f>IF(AND($A72&gt;=1,$A72&lt;=8,H$71&gt;=1,H$71&lt;=8),INDEX(Kernels!$B$21:$D$23,1,1)*INDEX(Datos!$B$3:$K$12,($A72+1)+-1,(H$71+1)+-1)+INDEX(Kernels!$B$21:$D$23,1,2)*INDEX(Datos!$B$3:$K$12,($A72+1)+-1,(H$71+1)+0)+INDEX(Kernels!$B$21:$D$23,1,3)*INDEX(Datos!$B$3:$K$12,($A72+1)+-1,(H$71+1)+1)+INDEX(Kernels!$B$21:$D$23,2,1)*INDEX(Datos!$B$3:$K$12,($A72+1)+0,(H$71+1)+-1)+INDEX(Kernels!$B$21:$D$23,2,2)*INDEX(Datos!$B$3:$K$12,($A72+1)+0,(H$71+1)+0)+INDEX(Kernels!$B$21:$D$23,2,3)*INDEX(Datos!$B$3:$K$12,($A72+1)+0,(H$71+1)+1)+INDEX(Kernels!$B$21:$D$23,3,1)*INDEX(Datos!$B$3:$K$12,($A72+1)+1,(H$71+1)+-1)+INDEX(Kernels!$B$21:$D$23,3,2)*INDEX(Datos!$B$3:$K$12,($A72+1)+1,(H$71+1)+0)+INDEX(Kernels!$B$21:$D$23,3,3)*INDEX(Datos!$B$3:$K$12,($A72+1)+1,(H$71+1)+1),"")</f>
        <v/>
      </c>
      <c r="I72" s="9" t="str">
        <f>IF(AND($A72&gt;=1,$A72&lt;=8,I$71&gt;=1,I$71&lt;=8),INDEX(Kernels!$B$21:$D$23,1,1)*INDEX(Datos!$B$3:$K$12,($A72+1)+-1,(I$71+1)+-1)+INDEX(Kernels!$B$21:$D$23,1,2)*INDEX(Datos!$B$3:$K$12,($A72+1)+-1,(I$71+1)+0)+INDEX(Kernels!$B$21:$D$23,1,3)*INDEX(Datos!$B$3:$K$12,($A72+1)+-1,(I$71+1)+1)+INDEX(Kernels!$B$21:$D$23,2,1)*INDEX(Datos!$B$3:$K$12,($A72+1)+0,(I$71+1)+-1)+INDEX(Kernels!$B$21:$D$23,2,2)*INDEX(Datos!$B$3:$K$12,($A72+1)+0,(I$71+1)+0)+INDEX(Kernels!$B$21:$D$23,2,3)*INDEX(Datos!$B$3:$K$12,($A72+1)+0,(I$71+1)+1)+INDEX(Kernels!$B$21:$D$23,3,1)*INDEX(Datos!$B$3:$K$12,($A72+1)+1,(I$71+1)+-1)+INDEX(Kernels!$B$21:$D$23,3,2)*INDEX(Datos!$B$3:$K$12,($A72+1)+1,(I$71+1)+0)+INDEX(Kernels!$B$21:$D$23,3,3)*INDEX(Datos!$B$3:$K$12,($A72+1)+1,(I$71+1)+1),"")</f>
        <v/>
      </c>
      <c r="J72" s="9" t="str">
        <f>IF(AND($A72&gt;=1,$A72&lt;=8,J$71&gt;=1,J$71&lt;=8),INDEX(Kernels!$B$21:$D$23,1,1)*INDEX(Datos!$B$3:$K$12,($A72+1)+-1,(J$71+1)+-1)+INDEX(Kernels!$B$21:$D$23,1,2)*INDEX(Datos!$B$3:$K$12,($A72+1)+-1,(J$71+1)+0)+INDEX(Kernels!$B$21:$D$23,1,3)*INDEX(Datos!$B$3:$K$12,($A72+1)+-1,(J$71+1)+1)+INDEX(Kernels!$B$21:$D$23,2,1)*INDEX(Datos!$B$3:$K$12,($A72+1)+0,(J$71+1)+-1)+INDEX(Kernels!$B$21:$D$23,2,2)*INDEX(Datos!$B$3:$K$12,($A72+1)+0,(J$71+1)+0)+INDEX(Kernels!$B$21:$D$23,2,3)*INDEX(Datos!$B$3:$K$12,($A72+1)+0,(J$71+1)+1)+INDEX(Kernels!$B$21:$D$23,3,1)*INDEX(Datos!$B$3:$K$12,($A72+1)+1,(J$71+1)+-1)+INDEX(Kernels!$B$21:$D$23,3,2)*INDEX(Datos!$B$3:$K$12,($A72+1)+1,(J$71+1)+0)+INDEX(Kernels!$B$21:$D$23,3,3)*INDEX(Datos!$B$3:$K$12,($A72+1)+1,(J$71+1)+1),"")</f>
        <v/>
      </c>
      <c r="K72" s="9" t="str">
        <f>IF(AND($A72&gt;=1,$A72&lt;=8,K$71&gt;=1,K$71&lt;=8),INDEX(Kernels!$B$21:$D$23,1,1)*INDEX(Datos!$B$3:$K$12,($A72+1)+-1,(K$71+1)+-1)+INDEX(Kernels!$B$21:$D$23,1,2)*INDEX(Datos!$B$3:$K$12,($A72+1)+-1,(K$71+1)+0)+INDEX(Kernels!$B$21:$D$23,1,3)*INDEX(Datos!$B$3:$K$12,($A72+1)+-1,(K$71+1)+1)+INDEX(Kernels!$B$21:$D$23,2,1)*INDEX(Datos!$B$3:$K$12,($A72+1)+0,(K$71+1)+-1)+INDEX(Kernels!$B$21:$D$23,2,2)*INDEX(Datos!$B$3:$K$12,($A72+1)+0,(K$71+1)+0)+INDEX(Kernels!$B$21:$D$23,2,3)*INDEX(Datos!$B$3:$K$12,($A72+1)+0,(K$71+1)+1)+INDEX(Kernels!$B$21:$D$23,3,1)*INDEX(Datos!$B$3:$K$12,($A72+1)+1,(K$71+1)+-1)+INDEX(Kernels!$B$21:$D$23,3,2)*INDEX(Datos!$B$3:$K$12,($A72+1)+1,(K$71+1)+0)+INDEX(Kernels!$B$21:$D$23,3,3)*INDEX(Datos!$B$3:$K$12,($A72+1)+1,(K$71+1)+1),"")</f>
        <v/>
      </c>
    </row>
    <row r="73" spans="1:11" ht="24" customHeight="1" x14ac:dyDescent="0.2">
      <c r="A73" s="10">
        <v>1</v>
      </c>
      <c r="B73" s="9" t="str">
        <f>IF(AND($A73&gt;=1,$A73&lt;=8,B$71&gt;=1,B$71&lt;=8),INDEX(Kernels!$B$21:$D$23,1,1)*INDEX(Datos!$B$3:$K$12,($A73+1)+-1,(B$71+1)+-1)+INDEX(Kernels!$B$21:$D$23,1,2)*INDEX(Datos!$B$3:$K$12,($A73+1)+-1,(B$71+1)+0)+INDEX(Kernels!$B$21:$D$23,1,3)*INDEX(Datos!$B$3:$K$12,($A73+1)+-1,(B$71+1)+1)+INDEX(Kernels!$B$21:$D$23,2,1)*INDEX(Datos!$B$3:$K$12,($A73+1)+0,(B$71+1)+-1)+INDEX(Kernels!$B$21:$D$23,2,2)*INDEX(Datos!$B$3:$K$12,($A73+1)+0,(B$71+1)+0)+INDEX(Kernels!$B$21:$D$23,2,3)*INDEX(Datos!$B$3:$K$12,($A73+1)+0,(B$71+1)+1)+INDEX(Kernels!$B$21:$D$23,3,1)*INDEX(Datos!$B$3:$K$12,($A73+1)+1,(B$71+1)+-1)+INDEX(Kernels!$B$21:$D$23,3,2)*INDEX(Datos!$B$3:$K$12,($A73+1)+1,(B$71+1)+0)+INDEX(Kernels!$B$21:$D$23,3,3)*INDEX(Datos!$B$3:$K$12,($A73+1)+1,(B$71+1)+1),"")</f>
        <v/>
      </c>
      <c r="C73" s="9">
        <f>IF(AND($A73&gt;=1,$A73&lt;=8,C$71&gt;=1,C$71&lt;=8),INDEX(Kernels!$B$21:$D$23,1,1)*INDEX(Datos!$B$3:$K$12,($A73+1)+-1,(C$71+1)+-1)+INDEX(Kernels!$B$21:$D$23,1,2)*INDEX(Datos!$B$3:$K$12,($A73+1)+-1,(C$71+1)+0)+INDEX(Kernels!$B$21:$D$23,1,3)*INDEX(Datos!$B$3:$K$12,($A73+1)+-1,(C$71+1)+1)+INDEX(Kernels!$B$21:$D$23,2,1)*INDEX(Datos!$B$3:$K$12,($A73+1)+0,(C$71+1)+-1)+INDEX(Kernels!$B$21:$D$23,2,2)*INDEX(Datos!$B$3:$K$12,($A73+1)+0,(C$71+1)+0)+INDEX(Kernels!$B$21:$D$23,2,3)*INDEX(Datos!$B$3:$K$12,($A73+1)+0,(C$71+1)+1)+INDEX(Kernels!$B$21:$D$23,3,1)*INDEX(Datos!$B$3:$K$12,($A73+1)+1,(C$71+1)+-1)+INDEX(Kernels!$B$21:$D$23,3,2)*INDEX(Datos!$B$3:$K$12,($A73+1)+1,(C$71+1)+0)+INDEX(Kernels!$B$21:$D$23,3,3)*INDEX(Datos!$B$3:$K$12,($A73+1)+1,(C$71+1)+1),"")</f>
        <v>36</v>
      </c>
      <c r="D73" s="9">
        <f>IF(AND($A73&gt;=1,$A73&lt;=8,D$71&gt;=1,D$71&lt;=8),INDEX(Kernels!$B$21:$D$23,1,1)*INDEX(Datos!$B$3:$K$12,($A73+1)+-1,(D$71+1)+-1)+INDEX(Kernels!$B$21:$D$23,1,2)*INDEX(Datos!$B$3:$K$12,($A73+1)+-1,(D$71+1)+0)+INDEX(Kernels!$B$21:$D$23,1,3)*INDEX(Datos!$B$3:$K$12,($A73+1)+-1,(D$71+1)+1)+INDEX(Kernels!$B$21:$D$23,2,1)*INDEX(Datos!$B$3:$K$12,($A73+1)+0,(D$71+1)+-1)+INDEX(Kernels!$B$21:$D$23,2,2)*INDEX(Datos!$B$3:$K$12,($A73+1)+0,(D$71+1)+0)+INDEX(Kernels!$B$21:$D$23,2,3)*INDEX(Datos!$B$3:$K$12,($A73+1)+0,(D$71+1)+1)+INDEX(Kernels!$B$21:$D$23,3,1)*INDEX(Datos!$B$3:$K$12,($A73+1)+1,(D$71+1)+-1)+INDEX(Kernels!$B$21:$D$23,3,2)*INDEX(Datos!$B$3:$K$12,($A73+1)+1,(D$71+1)+0)+INDEX(Kernels!$B$21:$D$23,3,3)*INDEX(Datos!$B$3:$K$12,($A73+1)+1,(D$71+1)+1),"")</f>
        <v>14</v>
      </c>
      <c r="E73" s="9">
        <f>IF(AND($A73&gt;=1,$A73&lt;=8,E$71&gt;=1,E$71&lt;=8),INDEX(Kernels!$B$21:$D$23,1,1)*INDEX(Datos!$B$3:$K$12,($A73+1)+-1,(E$71+1)+-1)+INDEX(Kernels!$B$21:$D$23,1,2)*INDEX(Datos!$B$3:$K$12,($A73+1)+-1,(E$71+1)+0)+INDEX(Kernels!$B$21:$D$23,1,3)*INDEX(Datos!$B$3:$K$12,($A73+1)+-1,(E$71+1)+1)+INDEX(Kernels!$B$21:$D$23,2,1)*INDEX(Datos!$B$3:$K$12,($A73+1)+0,(E$71+1)+-1)+INDEX(Kernels!$B$21:$D$23,2,2)*INDEX(Datos!$B$3:$K$12,($A73+1)+0,(E$71+1)+0)+INDEX(Kernels!$B$21:$D$23,2,3)*INDEX(Datos!$B$3:$K$12,($A73+1)+0,(E$71+1)+1)+INDEX(Kernels!$B$21:$D$23,3,1)*INDEX(Datos!$B$3:$K$12,($A73+1)+1,(E$71+1)+-1)+INDEX(Kernels!$B$21:$D$23,3,2)*INDEX(Datos!$B$3:$K$12,($A73+1)+1,(E$71+1)+0)+INDEX(Kernels!$B$21:$D$23,3,3)*INDEX(Datos!$B$3:$K$12,($A73+1)+1,(E$71+1)+1),"")</f>
        <v>30</v>
      </c>
      <c r="F73" s="9">
        <f>IF(AND($A73&gt;=1,$A73&lt;=8,F$71&gt;=1,F$71&lt;=8),INDEX(Kernels!$B$21:$D$23,1,1)*INDEX(Datos!$B$3:$K$12,($A73+1)+-1,(F$71+1)+-1)+INDEX(Kernels!$B$21:$D$23,1,2)*INDEX(Datos!$B$3:$K$12,($A73+1)+-1,(F$71+1)+0)+INDEX(Kernels!$B$21:$D$23,1,3)*INDEX(Datos!$B$3:$K$12,($A73+1)+-1,(F$71+1)+1)+INDEX(Kernels!$B$21:$D$23,2,1)*INDEX(Datos!$B$3:$K$12,($A73+1)+0,(F$71+1)+-1)+INDEX(Kernels!$B$21:$D$23,2,2)*INDEX(Datos!$B$3:$K$12,($A73+1)+0,(F$71+1)+0)+INDEX(Kernels!$B$21:$D$23,2,3)*INDEX(Datos!$B$3:$K$12,($A73+1)+0,(F$71+1)+1)+INDEX(Kernels!$B$21:$D$23,3,1)*INDEX(Datos!$B$3:$K$12,($A73+1)+1,(F$71+1)+-1)+INDEX(Kernels!$B$21:$D$23,3,2)*INDEX(Datos!$B$3:$K$12,($A73+1)+1,(F$71+1)+0)+INDEX(Kernels!$B$21:$D$23,3,3)*INDEX(Datos!$B$3:$K$12,($A73+1)+1,(F$71+1)+1),"")</f>
        <v>35</v>
      </c>
      <c r="G73" s="9">
        <f>IF(AND($A73&gt;=1,$A73&lt;=8,G$71&gt;=1,G$71&lt;=8),INDEX(Kernels!$B$21:$D$23,1,1)*INDEX(Datos!$B$3:$K$12,($A73+1)+-1,(G$71+1)+-1)+INDEX(Kernels!$B$21:$D$23,1,2)*INDEX(Datos!$B$3:$K$12,($A73+1)+-1,(G$71+1)+0)+INDEX(Kernels!$B$21:$D$23,1,3)*INDEX(Datos!$B$3:$K$12,($A73+1)+-1,(G$71+1)+1)+INDEX(Kernels!$B$21:$D$23,2,1)*INDEX(Datos!$B$3:$K$12,($A73+1)+0,(G$71+1)+-1)+INDEX(Kernels!$B$21:$D$23,2,2)*INDEX(Datos!$B$3:$K$12,($A73+1)+0,(G$71+1)+0)+INDEX(Kernels!$B$21:$D$23,2,3)*INDEX(Datos!$B$3:$K$12,($A73+1)+0,(G$71+1)+1)+INDEX(Kernels!$B$21:$D$23,3,1)*INDEX(Datos!$B$3:$K$12,($A73+1)+1,(G$71+1)+-1)+INDEX(Kernels!$B$21:$D$23,3,2)*INDEX(Datos!$B$3:$K$12,($A73+1)+1,(G$71+1)+0)+INDEX(Kernels!$B$21:$D$23,3,3)*INDEX(Datos!$B$3:$K$12,($A73+1)+1,(G$71+1)+1),"")</f>
        <v>19</v>
      </c>
      <c r="H73" s="9">
        <f>IF(AND($A73&gt;=1,$A73&lt;=8,H$71&gt;=1,H$71&lt;=8),INDEX(Kernels!$B$21:$D$23,1,1)*INDEX(Datos!$B$3:$K$12,($A73+1)+-1,(H$71+1)+-1)+INDEX(Kernels!$B$21:$D$23,1,2)*INDEX(Datos!$B$3:$K$12,($A73+1)+-1,(H$71+1)+0)+INDEX(Kernels!$B$21:$D$23,1,3)*INDEX(Datos!$B$3:$K$12,($A73+1)+-1,(H$71+1)+1)+INDEX(Kernels!$B$21:$D$23,2,1)*INDEX(Datos!$B$3:$K$12,($A73+1)+0,(H$71+1)+-1)+INDEX(Kernels!$B$21:$D$23,2,2)*INDEX(Datos!$B$3:$K$12,($A73+1)+0,(H$71+1)+0)+INDEX(Kernels!$B$21:$D$23,2,3)*INDEX(Datos!$B$3:$K$12,($A73+1)+0,(H$71+1)+1)+INDEX(Kernels!$B$21:$D$23,3,1)*INDEX(Datos!$B$3:$K$12,($A73+1)+1,(H$71+1)+-1)+INDEX(Kernels!$B$21:$D$23,3,2)*INDEX(Datos!$B$3:$K$12,($A73+1)+1,(H$71+1)+0)+INDEX(Kernels!$B$21:$D$23,3,3)*INDEX(Datos!$B$3:$K$12,($A73+1)+1,(H$71+1)+1),"")</f>
        <v>28</v>
      </c>
      <c r="I73" s="9">
        <f>IF(AND($A73&gt;=1,$A73&lt;=8,I$71&gt;=1,I$71&lt;=8),INDEX(Kernels!$B$21:$D$23,1,1)*INDEX(Datos!$B$3:$K$12,($A73+1)+-1,(I$71+1)+-1)+INDEX(Kernels!$B$21:$D$23,1,2)*INDEX(Datos!$B$3:$K$12,($A73+1)+-1,(I$71+1)+0)+INDEX(Kernels!$B$21:$D$23,1,3)*INDEX(Datos!$B$3:$K$12,($A73+1)+-1,(I$71+1)+1)+INDEX(Kernels!$B$21:$D$23,2,1)*INDEX(Datos!$B$3:$K$12,($A73+1)+0,(I$71+1)+-1)+INDEX(Kernels!$B$21:$D$23,2,2)*INDEX(Datos!$B$3:$K$12,($A73+1)+0,(I$71+1)+0)+INDEX(Kernels!$B$21:$D$23,2,3)*INDEX(Datos!$B$3:$K$12,($A73+1)+0,(I$71+1)+1)+INDEX(Kernels!$B$21:$D$23,3,1)*INDEX(Datos!$B$3:$K$12,($A73+1)+1,(I$71+1)+-1)+INDEX(Kernels!$B$21:$D$23,3,2)*INDEX(Datos!$B$3:$K$12,($A73+1)+1,(I$71+1)+0)+INDEX(Kernels!$B$21:$D$23,3,3)*INDEX(Datos!$B$3:$K$12,($A73+1)+1,(I$71+1)+1),"")</f>
        <v>-83</v>
      </c>
      <c r="J73" s="9">
        <f>IF(AND($A73&gt;=1,$A73&lt;=8,J$71&gt;=1,J$71&lt;=8),INDEX(Kernels!$B$21:$D$23,1,1)*INDEX(Datos!$B$3:$K$12,($A73+1)+-1,(J$71+1)+-1)+INDEX(Kernels!$B$21:$D$23,1,2)*INDEX(Datos!$B$3:$K$12,($A73+1)+-1,(J$71+1)+0)+INDEX(Kernels!$B$21:$D$23,1,3)*INDEX(Datos!$B$3:$K$12,($A73+1)+-1,(J$71+1)+1)+INDEX(Kernels!$B$21:$D$23,2,1)*INDEX(Datos!$B$3:$K$12,($A73+1)+0,(J$71+1)+-1)+INDEX(Kernels!$B$21:$D$23,2,2)*INDEX(Datos!$B$3:$K$12,($A73+1)+0,(J$71+1)+0)+INDEX(Kernels!$B$21:$D$23,2,3)*INDEX(Datos!$B$3:$K$12,($A73+1)+0,(J$71+1)+1)+INDEX(Kernels!$B$21:$D$23,3,1)*INDEX(Datos!$B$3:$K$12,($A73+1)+1,(J$71+1)+-1)+INDEX(Kernels!$B$21:$D$23,3,2)*INDEX(Datos!$B$3:$K$12,($A73+1)+1,(J$71+1)+0)+INDEX(Kernels!$B$21:$D$23,3,3)*INDEX(Datos!$B$3:$K$12,($A73+1)+1,(J$71+1)+1),"")</f>
        <v>134</v>
      </c>
      <c r="K73" s="9" t="str">
        <f>IF(AND($A73&gt;=1,$A73&lt;=8,K$71&gt;=1,K$71&lt;=8),INDEX(Kernels!$B$21:$D$23,1,1)*INDEX(Datos!$B$3:$K$12,($A73+1)+-1,(K$71+1)+-1)+INDEX(Kernels!$B$21:$D$23,1,2)*INDEX(Datos!$B$3:$K$12,($A73+1)+-1,(K$71+1)+0)+INDEX(Kernels!$B$21:$D$23,1,3)*INDEX(Datos!$B$3:$K$12,($A73+1)+-1,(K$71+1)+1)+INDEX(Kernels!$B$21:$D$23,2,1)*INDEX(Datos!$B$3:$K$12,($A73+1)+0,(K$71+1)+-1)+INDEX(Kernels!$B$21:$D$23,2,2)*INDEX(Datos!$B$3:$K$12,($A73+1)+0,(K$71+1)+0)+INDEX(Kernels!$B$21:$D$23,2,3)*INDEX(Datos!$B$3:$K$12,($A73+1)+0,(K$71+1)+1)+INDEX(Kernels!$B$21:$D$23,3,1)*INDEX(Datos!$B$3:$K$12,($A73+1)+1,(K$71+1)+-1)+INDEX(Kernels!$B$21:$D$23,3,2)*INDEX(Datos!$B$3:$K$12,($A73+1)+1,(K$71+1)+0)+INDEX(Kernels!$B$21:$D$23,3,3)*INDEX(Datos!$B$3:$K$12,($A73+1)+1,(K$71+1)+1),"")</f>
        <v/>
      </c>
    </row>
    <row r="74" spans="1:11" ht="24" customHeight="1" x14ac:dyDescent="0.2">
      <c r="A74" s="10">
        <v>2</v>
      </c>
      <c r="B74" s="9" t="str">
        <f>IF(AND($A74&gt;=1,$A74&lt;=8,B$71&gt;=1,B$71&lt;=8),INDEX(Kernels!$B$21:$D$23,1,1)*INDEX(Datos!$B$3:$K$12,($A74+1)+-1,(B$71+1)+-1)+INDEX(Kernels!$B$21:$D$23,1,2)*INDEX(Datos!$B$3:$K$12,($A74+1)+-1,(B$71+1)+0)+INDEX(Kernels!$B$21:$D$23,1,3)*INDEX(Datos!$B$3:$K$12,($A74+1)+-1,(B$71+1)+1)+INDEX(Kernels!$B$21:$D$23,2,1)*INDEX(Datos!$B$3:$K$12,($A74+1)+0,(B$71+1)+-1)+INDEX(Kernels!$B$21:$D$23,2,2)*INDEX(Datos!$B$3:$K$12,($A74+1)+0,(B$71+1)+0)+INDEX(Kernels!$B$21:$D$23,2,3)*INDEX(Datos!$B$3:$K$12,($A74+1)+0,(B$71+1)+1)+INDEX(Kernels!$B$21:$D$23,3,1)*INDEX(Datos!$B$3:$K$12,($A74+1)+1,(B$71+1)+-1)+INDEX(Kernels!$B$21:$D$23,3,2)*INDEX(Datos!$B$3:$K$12,($A74+1)+1,(B$71+1)+0)+INDEX(Kernels!$B$21:$D$23,3,3)*INDEX(Datos!$B$3:$K$12,($A74+1)+1,(B$71+1)+1),"")</f>
        <v/>
      </c>
      <c r="C74" s="9">
        <f>IF(AND($A74&gt;=1,$A74&lt;=8,C$71&gt;=1,C$71&lt;=8),INDEX(Kernels!$B$21:$D$23,1,1)*INDEX(Datos!$B$3:$K$12,($A74+1)+-1,(C$71+1)+-1)+INDEX(Kernels!$B$21:$D$23,1,2)*INDEX(Datos!$B$3:$K$12,($A74+1)+-1,(C$71+1)+0)+INDEX(Kernels!$B$21:$D$23,1,3)*INDEX(Datos!$B$3:$K$12,($A74+1)+-1,(C$71+1)+1)+INDEX(Kernels!$B$21:$D$23,2,1)*INDEX(Datos!$B$3:$K$12,($A74+1)+0,(C$71+1)+-1)+INDEX(Kernels!$B$21:$D$23,2,2)*INDEX(Datos!$B$3:$K$12,($A74+1)+0,(C$71+1)+0)+INDEX(Kernels!$B$21:$D$23,2,3)*INDEX(Datos!$B$3:$K$12,($A74+1)+0,(C$71+1)+1)+INDEX(Kernels!$B$21:$D$23,3,1)*INDEX(Datos!$B$3:$K$12,($A74+1)+1,(C$71+1)+-1)+INDEX(Kernels!$B$21:$D$23,3,2)*INDEX(Datos!$B$3:$K$12,($A74+1)+1,(C$71+1)+0)+INDEX(Kernels!$B$21:$D$23,3,3)*INDEX(Datos!$B$3:$K$12,($A74+1)+1,(C$71+1)+1),"")</f>
        <v>-16</v>
      </c>
      <c r="D74" s="9">
        <f>IF(AND($A74&gt;=1,$A74&lt;=8,D$71&gt;=1,D$71&lt;=8),INDEX(Kernels!$B$21:$D$23,1,1)*INDEX(Datos!$B$3:$K$12,($A74+1)+-1,(D$71+1)+-1)+INDEX(Kernels!$B$21:$D$23,1,2)*INDEX(Datos!$B$3:$K$12,($A74+1)+-1,(D$71+1)+0)+INDEX(Kernels!$B$21:$D$23,1,3)*INDEX(Datos!$B$3:$K$12,($A74+1)+-1,(D$71+1)+1)+INDEX(Kernels!$B$21:$D$23,2,1)*INDEX(Datos!$B$3:$K$12,($A74+1)+0,(D$71+1)+-1)+INDEX(Kernels!$B$21:$D$23,2,2)*INDEX(Datos!$B$3:$K$12,($A74+1)+0,(D$71+1)+0)+INDEX(Kernels!$B$21:$D$23,2,3)*INDEX(Datos!$B$3:$K$12,($A74+1)+0,(D$71+1)+1)+INDEX(Kernels!$B$21:$D$23,3,1)*INDEX(Datos!$B$3:$K$12,($A74+1)+1,(D$71+1)+-1)+INDEX(Kernels!$B$21:$D$23,3,2)*INDEX(Datos!$B$3:$K$12,($A74+1)+1,(D$71+1)+0)+INDEX(Kernels!$B$21:$D$23,3,3)*INDEX(Datos!$B$3:$K$12,($A74+1)+1,(D$71+1)+1),"")</f>
        <v>-23</v>
      </c>
      <c r="E74" s="9">
        <f>IF(AND($A74&gt;=1,$A74&lt;=8,E$71&gt;=1,E$71&lt;=8),INDEX(Kernels!$B$21:$D$23,1,1)*INDEX(Datos!$B$3:$K$12,($A74+1)+-1,(E$71+1)+-1)+INDEX(Kernels!$B$21:$D$23,1,2)*INDEX(Datos!$B$3:$K$12,($A74+1)+-1,(E$71+1)+0)+INDEX(Kernels!$B$21:$D$23,1,3)*INDEX(Datos!$B$3:$K$12,($A74+1)+-1,(E$71+1)+1)+INDEX(Kernels!$B$21:$D$23,2,1)*INDEX(Datos!$B$3:$K$12,($A74+1)+0,(E$71+1)+-1)+INDEX(Kernels!$B$21:$D$23,2,2)*INDEX(Datos!$B$3:$K$12,($A74+1)+0,(E$71+1)+0)+INDEX(Kernels!$B$21:$D$23,2,3)*INDEX(Datos!$B$3:$K$12,($A74+1)+0,(E$71+1)+1)+INDEX(Kernels!$B$21:$D$23,3,1)*INDEX(Datos!$B$3:$K$12,($A74+1)+1,(E$71+1)+-1)+INDEX(Kernels!$B$21:$D$23,3,2)*INDEX(Datos!$B$3:$K$12,($A74+1)+1,(E$71+1)+0)+INDEX(Kernels!$B$21:$D$23,3,3)*INDEX(Datos!$B$3:$K$12,($A74+1)+1,(E$71+1)+1),"")</f>
        <v>-32</v>
      </c>
      <c r="F74" s="9">
        <f>IF(AND($A74&gt;=1,$A74&lt;=8,F$71&gt;=1,F$71&lt;=8),INDEX(Kernels!$B$21:$D$23,1,1)*INDEX(Datos!$B$3:$K$12,($A74+1)+-1,(F$71+1)+-1)+INDEX(Kernels!$B$21:$D$23,1,2)*INDEX(Datos!$B$3:$K$12,($A74+1)+-1,(F$71+1)+0)+INDEX(Kernels!$B$21:$D$23,1,3)*INDEX(Datos!$B$3:$K$12,($A74+1)+-1,(F$71+1)+1)+INDEX(Kernels!$B$21:$D$23,2,1)*INDEX(Datos!$B$3:$K$12,($A74+1)+0,(F$71+1)+-1)+INDEX(Kernels!$B$21:$D$23,2,2)*INDEX(Datos!$B$3:$K$12,($A74+1)+0,(F$71+1)+0)+INDEX(Kernels!$B$21:$D$23,2,3)*INDEX(Datos!$B$3:$K$12,($A74+1)+0,(F$71+1)+1)+INDEX(Kernels!$B$21:$D$23,3,1)*INDEX(Datos!$B$3:$K$12,($A74+1)+1,(F$71+1)+-1)+INDEX(Kernels!$B$21:$D$23,3,2)*INDEX(Datos!$B$3:$K$12,($A74+1)+1,(F$71+1)+0)+INDEX(Kernels!$B$21:$D$23,3,3)*INDEX(Datos!$B$3:$K$12,($A74+1)+1,(F$71+1)+1),"")</f>
        <v>10</v>
      </c>
      <c r="G74" s="9">
        <f>IF(AND($A74&gt;=1,$A74&lt;=8,G$71&gt;=1,G$71&lt;=8),INDEX(Kernels!$B$21:$D$23,1,1)*INDEX(Datos!$B$3:$K$12,($A74+1)+-1,(G$71+1)+-1)+INDEX(Kernels!$B$21:$D$23,1,2)*INDEX(Datos!$B$3:$K$12,($A74+1)+-1,(G$71+1)+0)+INDEX(Kernels!$B$21:$D$23,1,3)*INDEX(Datos!$B$3:$K$12,($A74+1)+-1,(G$71+1)+1)+INDEX(Kernels!$B$21:$D$23,2,1)*INDEX(Datos!$B$3:$K$12,($A74+1)+0,(G$71+1)+-1)+INDEX(Kernels!$B$21:$D$23,2,2)*INDEX(Datos!$B$3:$K$12,($A74+1)+0,(G$71+1)+0)+INDEX(Kernels!$B$21:$D$23,2,3)*INDEX(Datos!$B$3:$K$12,($A74+1)+0,(G$71+1)+1)+INDEX(Kernels!$B$21:$D$23,3,1)*INDEX(Datos!$B$3:$K$12,($A74+1)+1,(G$71+1)+-1)+INDEX(Kernels!$B$21:$D$23,3,2)*INDEX(Datos!$B$3:$K$12,($A74+1)+1,(G$71+1)+0)+INDEX(Kernels!$B$21:$D$23,3,3)*INDEX(Datos!$B$3:$K$12,($A74+1)+1,(G$71+1)+1),"")</f>
        <v>41</v>
      </c>
      <c r="H74" s="9">
        <f>IF(AND($A74&gt;=1,$A74&lt;=8,H$71&gt;=1,H$71&lt;=8),INDEX(Kernels!$B$21:$D$23,1,1)*INDEX(Datos!$B$3:$K$12,($A74+1)+-1,(H$71+1)+-1)+INDEX(Kernels!$B$21:$D$23,1,2)*INDEX(Datos!$B$3:$K$12,($A74+1)+-1,(H$71+1)+0)+INDEX(Kernels!$B$21:$D$23,1,3)*INDEX(Datos!$B$3:$K$12,($A74+1)+-1,(H$71+1)+1)+INDEX(Kernels!$B$21:$D$23,2,1)*INDEX(Datos!$B$3:$K$12,($A74+1)+0,(H$71+1)+-1)+INDEX(Kernels!$B$21:$D$23,2,2)*INDEX(Datos!$B$3:$K$12,($A74+1)+0,(H$71+1)+0)+INDEX(Kernels!$B$21:$D$23,2,3)*INDEX(Datos!$B$3:$K$12,($A74+1)+0,(H$71+1)+1)+INDEX(Kernels!$B$21:$D$23,3,1)*INDEX(Datos!$B$3:$K$12,($A74+1)+1,(H$71+1)+-1)+INDEX(Kernels!$B$21:$D$23,3,2)*INDEX(Datos!$B$3:$K$12,($A74+1)+1,(H$71+1)+0)+INDEX(Kernels!$B$21:$D$23,3,3)*INDEX(Datos!$B$3:$K$12,($A74+1)+1,(H$71+1)+1),"")</f>
        <v>-29</v>
      </c>
      <c r="I74" s="9">
        <f>IF(AND($A74&gt;=1,$A74&lt;=8,I$71&gt;=1,I$71&lt;=8),INDEX(Kernels!$B$21:$D$23,1,1)*INDEX(Datos!$B$3:$K$12,($A74+1)+-1,(I$71+1)+-1)+INDEX(Kernels!$B$21:$D$23,1,2)*INDEX(Datos!$B$3:$K$12,($A74+1)+-1,(I$71+1)+0)+INDEX(Kernels!$B$21:$D$23,1,3)*INDEX(Datos!$B$3:$K$12,($A74+1)+-1,(I$71+1)+1)+INDEX(Kernels!$B$21:$D$23,2,1)*INDEX(Datos!$B$3:$K$12,($A74+1)+0,(I$71+1)+-1)+INDEX(Kernels!$B$21:$D$23,2,2)*INDEX(Datos!$B$3:$K$12,($A74+1)+0,(I$71+1)+0)+INDEX(Kernels!$B$21:$D$23,2,3)*INDEX(Datos!$B$3:$K$12,($A74+1)+0,(I$71+1)+1)+INDEX(Kernels!$B$21:$D$23,3,1)*INDEX(Datos!$B$3:$K$12,($A74+1)+1,(I$71+1)+-1)+INDEX(Kernels!$B$21:$D$23,3,2)*INDEX(Datos!$B$3:$K$12,($A74+1)+1,(I$71+1)+0)+INDEX(Kernels!$B$21:$D$23,3,3)*INDEX(Datos!$B$3:$K$12,($A74+1)+1,(I$71+1)+1),"")</f>
        <v>-68</v>
      </c>
      <c r="J74" s="9">
        <f>IF(AND($A74&gt;=1,$A74&lt;=8,J$71&gt;=1,J$71&lt;=8),INDEX(Kernels!$B$21:$D$23,1,1)*INDEX(Datos!$B$3:$K$12,($A74+1)+-1,(J$71+1)+-1)+INDEX(Kernels!$B$21:$D$23,1,2)*INDEX(Datos!$B$3:$K$12,($A74+1)+-1,(J$71+1)+0)+INDEX(Kernels!$B$21:$D$23,1,3)*INDEX(Datos!$B$3:$K$12,($A74+1)+-1,(J$71+1)+1)+INDEX(Kernels!$B$21:$D$23,2,1)*INDEX(Datos!$B$3:$K$12,($A74+1)+0,(J$71+1)+-1)+INDEX(Kernels!$B$21:$D$23,2,2)*INDEX(Datos!$B$3:$K$12,($A74+1)+0,(J$71+1)+0)+INDEX(Kernels!$B$21:$D$23,2,3)*INDEX(Datos!$B$3:$K$12,($A74+1)+0,(J$71+1)+1)+INDEX(Kernels!$B$21:$D$23,3,1)*INDEX(Datos!$B$3:$K$12,($A74+1)+1,(J$71+1)+-1)+INDEX(Kernels!$B$21:$D$23,3,2)*INDEX(Datos!$B$3:$K$12,($A74+1)+1,(J$71+1)+0)+INDEX(Kernels!$B$21:$D$23,3,3)*INDEX(Datos!$B$3:$K$12,($A74+1)+1,(J$71+1)+1),"")</f>
        <v>-23</v>
      </c>
      <c r="K74" s="9" t="str">
        <f>IF(AND($A74&gt;=1,$A74&lt;=8,K$71&gt;=1,K$71&lt;=8),INDEX(Kernels!$B$21:$D$23,1,1)*INDEX(Datos!$B$3:$K$12,($A74+1)+-1,(K$71+1)+-1)+INDEX(Kernels!$B$21:$D$23,1,2)*INDEX(Datos!$B$3:$K$12,($A74+1)+-1,(K$71+1)+0)+INDEX(Kernels!$B$21:$D$23,1,3)*INDEX(Datos!$B$3:$K$12,($A74+1)+-1,(K$71+1)+1)+INDEX(Kernels!$B$21:$D$23,2,1)*INDEX(Datos!$B$3:$K$12,($A74+1)+0,(K$71+1)+-1)+INDEX(Kernels!$B$21:$D$23,2,2)*INDEX(Datos!$B$3:$K$12,($A74+1)+0,(K$71+1)+0)+INDEX(Kernels!$B$21:$D$23,2,3)*INDEX(Datos!$B$3:$K$12,($A74+1)+0,(K$71+1)+1)+INDEX(Kernels!$B$21:$D$23,3,1)*INDEX(Datos!$B$3:$K$12,($A74+1)+1,(K$71+1)+-1)+INDEX(Kernels!$B$21:$D$23,3,2)*INDEX(Datos!$B$3:$K$12,($A74+1)+1,(K$71+1)+0)+INDEX(Kernels!$B$21:$D$23,3,3)*INDEX(Datos!$B$3:$K$12,($A74+1)+1,(K$71+1)+1),"")</f>
        <v/>
      </c>
    </row>
    <row r="75" spans="1:11" ht="24" customHeight="1" x14ac:dyDescent="0.2">
      <c r="A75" s="10">
        <v>3</v>
      </c>
      <c r="B75" s="9" t="str">
        <f>IF(AND($A75&gt;=1,$A75&lt;=8,B$71&gt;=1,B$71&lt;=8),INDEX(Kernels!$B$21:$D$23,1,1)*INDEX(Datos!$B$3:$K$12,($A75+1)+-1,(B$71+1)+-1)+INDEX(Kernels!$B$21:$D$23,1,2)*INDEX(Datos!$B$3:$K$12,($A75+1)+-1,(B$71+1)+0)+INDEX(Kernels!$B$21:$D$23,1,3)*INDEX(Datos!$B$3:$K$12,($A75+1)+-1,(B$71+1)+1)+INDEX(Kernels!$B$21:$D$23,2,1)*INDEX(Datos!$B$3:$K$12,($A75+1)+0,(B$71+1)+-1)+INDEX(Kernels!$B$21:$D$23,2,2)*INDEX(Datos!$B$3:$K$12,($A75+1)+0,(B$71+1)+0)+INDEX(Kernels!$B$21:$D$23,2,3)*INDEX(Datos!$B$3:$K$12,($A75+1)+0,(B$71+1)+1)+INDEX(Kernels!$B$21:$D$23,3,1)*INDEX(Datos!$B$3:$K$12,($A75+1)+1,(B$71+1)+-1)+INDEX(Kernels!$B$21:$D$23,3,2)*INDEX(Datos!$B$3:$K$12,($A75+1)+1,(B$71+1)+0)+INDEX(Kernels!$B$21:$D$23,3,3)*INDEX(Datos!$B$3:$K$12,($A75+1)+1,(B$71+1)+1),"")</f>
        <v/>
      </c>
      <c r="C75" s="9">
        <f>IF(AND($A75&gt;=1,$A75&lt;=8,C$71&gt;=1,C$71&lt;=8),INDEX(Kernels!$B$21:$D$23,1,1)*INDEX(Datos!$B$3:$K$12,($A75+1)+-1,(C$71+1)+-1)+INDEX(Kernels!$B$21:$D$23,1,2)*INDEX(Datos!$B$3:$K$12,($A75+1)+-1,(C$71+1)+0)+INDEX(Kernels!$B$21:$D$23,1,3)*INDEX(Datos!$B$3:$K$12,($A75+1)+-1,(C$71+1)+1)+INDEX(Kernels!$B$21:$D$23,2,1)*INDEX(Datos!$B$3:$K$12,($A75+1)+0,(C$71+1)+-1)+INDEX(Kernels!$B$21:$D$23,2,2)*INDEX(Datos!$B$3:$K$12,($A75+1)+0,(C$71+1)+0)+INDEX(Kernels!$B$21:$D$23,2,3)*INDEX(Datos!$B$3:$K$12,($A75+1)+0,(C$71+1)+1)+INDEX(Kernels!$B$21:$D$23,3,1)*INDEX(Datos!$B$3:$K$12,($A75+1)+1,(C$71+1)+-1)+INDEX(Kernels!$B$21:$D$23,3,2)*INDEX(Datos!$B$3:$K$12,($A75+1)+1,(C$71+1)+0)+INDEX(Kernels!$B$21:$D$23,3,3)*INDEX(Datos!$B$3:$K$12,($A75+1)+1,(C$71+1)+1),"")</f>
        <v>-79</v>
      </c>
      <c r="D75" s="9">
        <f>IF(AND($A75&gt;=1,$A75&lt;=8,D$71&gt;=1,D$71&lt;=8),INDEX(Kernels!$B$21:$D$23,1,1)*INDEX(Datos!$B$3:$K$12,($A75+1)+-1,(D$71+1)+-1)+INDEX(Kernels!$B$21:$D$23,1,2)*INDEX(Datos!$B$3:$K$12,($A75+1)+-1,(D$71+1)+0)+INDEX(Kernels!$B$21:$D$23,1,3)*INDEX(Datos!$B$3:$K$12,($A75+1)+-1,(D$71+1)+1)+INDEX(Kernels!$B$21:$D$23,2,1)*INDEX(Datos!$B$3:$K$12,($A75+1)+0,(D$71+1)+-1)+INDEX(Kernels!$B$21:$D$23,2,2)*INDEX(Datos!$B$3:$K$12,($A75+1)+0,(D$71+1)+0)+INDEX(Kernels!$B$21:$D$23,2,3)*INDEX(Datos!$B$3:$K$12,($A75+1)+0,(D$71+1)+1)+INDEX(Kernels!$B$21:$D$23,3,1)*INDEX(Datos!$B$3:$K$12,($A75+1)+1,(D$71+1)+-1)+INDEX(Kernels!$B$21:$D$23,3,2)*INDEX(Datos!$B$3:$K$12,($A75+1)+1,(D$71+1)+0)+INDEX(Kernels!$B$21:$D$23,3,3)*INDEX(Datos!$B$3:$K$12,($A75+1)+1,(D$71+1)+1),"")</f>
        <v>-31</v>
      </c>
      <c r="E75" s="9">
        <f>IF(AND($A75&gt;=1,$A75&lt;=8,E$71&gt;=1,E$71&lt;=8),INDEX(Kernels!$B$21:$D$23,1,1)*INDEX(Datos!$B$3:$K$12,($A75+1)+-1,(E$71+1)+-1)+INDEX(Kernels!$B$21:$D$23,1,2)*INDEX(Datos!$B$3:$K$12,($A75+1)+-1,(E$71+1)+0)+INDEX(Kernels!$B$21:$D$23,1,3)*INDEX(Datos!$B$3:$K$12,($A75+1)+-1,(E$71+1)+1)+INDEX(Kernels!$B$21:$D$23,2,1)*INDEX(Datos!$B$3:$K$12,($A75+1)+0,(E$71+1)+-1)+INDEX(Kernels!$B$21:$D$23,2,2)*INDEX(Datos!$B$3:$K$12,($A75+1)+0,(E$71+1)+0)+INDEX(Kernels!$B$21:$D$23,2,3)*INDEX(Datos!$B$3:$K$12,($A75+1)+0,(E$71+1)+1)+INDEX(Kernels!$B$21:$D$23,3,1)*INDEX(Datos!$B$3:$K$12,($A75+1)+1,(E$71+1)+-1)+INDEX(Kernels!$B$21:$D$23,3,2)*INDEX(Datos!$B$3:$K$12,($A75+1)+1,(E$71+1)+0)+INDEX(Kernels!$B$21:$D$23,3,3)*INDEX(Datos!$B$3:$K$12,($A75+1)+1,(E$71+1)+1),"")</f>
        <v>-47</v>
      </c>
      <c r="F75" s="9">
        <f>IF(AND($A75&gt;=1,$A75&lt;=8,F$71&gt;=1,F$71&lt;=8),INDEX(Kernels!$B$21:$D$23,1,1)*INDEX(Datos!$B$3:$K$12,($A75+1)+-1,(F$71+1)+-1)+INDEX(Kernels!$B$21:$D$23,1,2)*INDEX(Datos!$B$3:$K$12,($A75+1)+-1,(F$71+1)+0)+INDEX(Kernels!$B$21:$D$23,1,3)*INDEX(Datos!$B$3:$K$12,($A75+1)+-1,(F$71+1)+1)+INDEX(Kernels!$B$21:$D$23,2,1)*INDEX(Datos!$B$3:$K$12,($A75+1)+0,(F$71+1)+-1)+INDEX(Kernels!$B$21:$D$23,2,2)*INDEX(Datos!$B$3:$K$12,($A75+1)+0,(F$71+1)+0)+INDEX(Kernels!$B$21:$D$23,2,3)*INDEX(Datos!$B$3:$K$12,($A75+1)+0,(F$71+1)+1)+INDEX(Kernels!$B$21:$D$23,3,1)*INDEX(Datos!$B$3:$K$12,($A75+1)+1,(F$71+1)+-1)+INDEX(Kernels!$B$21:$D$23,3,2)*INDEX(Datos!$B$3:$K$12,($A75+1)+1,(F$71+1)+0)+INDEX(Kernels!$B$21:$D$23,3,3)*INDEX(Datos!$B$3:$K$12,($A75+1)+1,(F$71+1)+1),"")</f>
        <v>-2</v>
      </c>
      <c r="G75" s="9">
        <f>IF(AND($A75&gt;=1,$A75&lt;=8,G$71&gt;=1,G$71&lt;=8),INDEX(Kernels!$B$21:$D$23,1,1)*INDEX(Datos!$B$3:$K$12,($A75+1)+-1,(G$71+1)+-1)+INDEX(Kernels!$B$21:$D$23,1,2)*INDEX(Datos!$B$3:$K$12,($A75+1)+-1,(G$71+1)+0)+INDEX(Kernels!$B$21:$D$23,1,3)*INDEX(Datos!$B$3:$K$12,($A75+1)+-1,(G$71+1)+1)+INDEX(Kernels!$B$21:$D$23,2,1)*INDEX(Datos!$B$3:$K$12,($A75+1)+0,(G$71+1)+-1)+INDEX(Kernels!$B$21:$D$23,2,2)*INDEX(Datos!$B$3:$K$12,($A75+1)+0,(G$71+1)+0)+INDEX(Kernels!$B$21:$D$23,2,3)*INDEX(Datos!$B$3:$K$12,($A75+1)+0,(G$71+1)+1)+INDEX(Kernels!$B$21:$D$23,3,1)*INDEX(Datos!$B$3:$K$12,($A75+1)+1,(G$71+1)+-1)+INDEX(Kernels!$B$21:$D$23,3,2)*INDEX(Datos!$B$3:$K$12,($A75+1)+1,(G$71+1)+0)+INDEX(Kernels!$B$21:$D$23,3,3)*INDEX(Datos!$B$3:$K$12,($A75+1)+1,(G$71+1)+1),"")</f>
        <v>50</v>
      </c>
      <c r="H75" s="9">
        <f>IF(AND($A75&gt;=1,$A75&lt;=8,H$71&gt;=1,H$71&lt;=8),INDEX(Kernels!$B$21:$D$23,1,1)*INDEX(Datos!$B$3:$K$12,($A75+1)+-1,(H$71+1)+-1)+INDEX(Kernels!$B$21:$D$23,1,2)*INDEX(Datos!$B$3:$K$12,($A75+1)+-1,(H$71+1)+0)+INDEX(Kernels!$B$21:$D$23,1,3)*INDEX(Datos!$B$3:$K$12,($A75+1)+-1,(H$71+1)+1)+INDEX(Kernels!$B$21:$D$23,2,1)*INDEX(Datos!$B$3:$K$12,($A75+1)+0,(H$71+1)+-1)+INDEX(Kernels!$B$21:$D$23,2,2)*INDEX(Datos!$B$3:$K$12,($A75+1)+0,(H$71+1)+0)+INDEX(Kernels!$B$21:$D$23,2,3)*INDEX(Datos!$B$3:$K$12,($A75+1)+0,(H$71+1)+1)+INDEX(Kernels!$B$21:$D$23,3,1)*INDEX(Datos!$B$3:$K$12,($A75+1)+1,(H$71+1)+-1)+INDEX(Kernels!$B$21:$D$23,3,2)*INDEX(Datos!$B$3:$K$12,($A75+1)+1,(H$71+1)+0)+INDEX(Kernels!$B$21:$D$23,3,3)*INDEX(Datos!$B$3:$K$12,($A75+1)+1,(H$71+1)+1),"")</f>
        <v>-43</v>
      </c>
      <c r="I75" s="9">
        <f>IF(AND($A75&gt;=1,$A75&lt;=8,I$71&gt;=1,I$71&lt;=8),INDEX(Kernels!$B$21:$D$23,1,1)*INDEX(Datos!$B$3:$K$12,($A75+1)+-1,(I$71+1)+-1)+INDEX(Kernels!$B$21:$D$23,1,2)*INDEX(Datos!$B$3:$K$12,($A75+1)+-1,(I$71+1)+0)+INDEX(Kernels!$B$21:$D$23,1,3)*INDEX(Datos!$B$3:$K$12,($A75+1)+-1,(I$71+1)+1)+INDEX(Kernels!$B$21:$D$23,2,1)*INDEX(Datos!$B$3:$K$12,($A75+1)+0,(I$71+1)+-1)+INDEX(Kernels!$B$21:$D$23,2,2)*INDEX(Datos!$B$3:$K$12,($A75+1)+0,(I$71+1)+0)+INDEX(Kernels!$B$21:$D$23,2,3)*INDEX(Datos!$B$3:$K$12,($A75+1)+0,(I$71+1)+1)+INDEX(Kernels!$B$21:$D$23,3,1)*INDEX(Datos!$B$3:$K$12,($A75+1)+1,(I$71+1)+-1)+INDEX(Kernels!$B$21:$D$23,3,2)*INDEX(Datos!$B$3:$K$12,($A75+1)+1,(I$71+1)+0)+INDEX(Kernels!$B$21:$D$23,3,3)*INDEX(Datos!$B$3:$K$12,($A75+1)+1,(I$71+1)+1),"")</f>
        <v>8</v>
      </c>
      <c r="J75" s="9">
        <f>IF(AND($A75&gt;=1,$A75&lt;=8,J$71&gt;=1,J$71&lt;=8),INDEX(Kernels!$B$21:$D$23,1,1)*INDEX(Datos!$B$3:$K$12,($A75+1)+-1,(J$71+1)+-1)+INDEX(Kernels!$B$21:$D$23,1,2)*INDEX(Datos!$B$3:$K$12,($A75+1)+-1,(J$71+1)+0)+INDEX(Kernels!$B$21:$D$23,1,3)*INDEX(Datos!$B$3:$K$12,($A75+1)+-1,(J$71+1)+1)+INDEX(Kernels!$B$21:$D$23,2,1)*INDEX(Datos!$B$3:$K$12,($A75+1)+0,(J$71+1)+-1)+INDEX(Kernels!$B$21:$D$23,2,2)*INDEX(Datos!$B$3:$K$12,($A75+1)+0,(J$71+1)+0)+INDEX(Kernels!$B$21:$D$23,2,3)*INDEX(Datos!$B$3:$K$12,($A75+1)+0,(J$71+1)+1)+INDEX(Kernels!$B$21:$D$23,3,1)*INDEX(Datos!$B$3:$K$12,($A75+1)+1,(J$71+1)+-1)+INDEX(Kernels!$B$21:$D$23,3,2)*INDEX(Datos!$B$3:$K$12,($A75+1)+1,(J$71+1)+0)+INDEX(Kernels!$B$21:$D$23,3,3)*INDEX(Datos!$B$3:$K$12,($A75+1)+1,(J$71+1)+1),"")</f>
        <v>-131</v>
      </c>
      <c r="K75" s="9" t="str">
        <f>IF(AND($A75&gt;=1,$A75&lt;=8,K$71&gt;=1,K$71&lt;=8),INDEX(Kernels!$B$21:$D$23,1,1)*INDEX(Datos!$B$3:$K$12,($A75+1)+-1,(K$71+1)+-1)+INDEX(Kernels!$B$21:$D$23,1,2)*INDEX(Datos!$B$3:$K$12,($A75+1)+-1,(K$71+1)+0)+INDEX(Kernels!$B$21:$D$23,1,3)*INDEX(Datos!$B$3:$K$12,($A75+1)+-1,(K$71+1)+1)+INDEX(Kernels!$B$21:$D$23,2,1)*INDEX(Datos!$B$3:$K$12,($A75+1)+0,(K$71+1)+-1)+INDEX(Kernels!$B$21:$D$23,2,2)*INDEX(Datos!$B$3:$K$12,($A75+1)+0,(K$71+1)+0)+INDEX(Kernels!$B$21:$D$23,2,3)*INDEX(Datos!$B$3:$K$12,($A75+1)+0,(K$71+1)+1)+INDEX(Kernels!$B$21:$D$23,3,1)*INDEX(Datos!$B$3:$K$12,($A75+1)+1,(K$71+1)+-1)+INDEX(Kernels!$B$21:$D$23,3,2)*INDEX(Datos!$B$3:$K$12,($A75+1)+1,(K$71+1)+0)+INDEX(Kernels!$B$21:$D$23,3,3)*INDEX(Datos!$B$3:$K$12,($A75+1)+1,(K$71+1)+1),"")</f>
        <v/>
      </c>
    </row>
    <row r="76" spans="1:11" ht="24" customHeight="1" x14ac:dyDescent="0.2">
      <c r="A76" s="10">
        <v>4</v>
      </c>
      <c r="B76" s="9" t="str">
        <f>IF(AND($A76&gt;=1,$A76&lt;=8,B$71&gt;=1,B$71&lt;=8),INDEX(Kernels!$B$21:$D$23,1,1)*INDEX(Datos!$B$3:$K$12,($A76+1)+-1,(B$71+1)+-1)+INDEX(Kernels!$B$21:$D$23,1,2)*INDEX(Datos!$B$3:$K$12,($A76+1)+-1,(B$71+1)+0)+INDEX(Kernels!$B$21:$D$23,1,3)*INDEX(Datos!$B$3:$K$12,($A76+1)+-1,(B$71+1)+1)+INDEX(Kernels!$B$21:$D$23,2,1)*INDEX(Datos!$B$3:$K$12,($A76+1)+0,(B$71+1)+-1)+INDEX(Kernels!$B$21:$D$23,2,2)*INDEX(Datos!$B$3:$K$12,($A76+1)+0,(B$71+1)+0)+INDEX(Kernels!$B$21:$D$23,2,3)*INDEX(Datos!$B$3:$K$12,($A76+1)+0,(B$71+1)+1)+INDEX(Kernels!$B$21:$D$23,3,1)*INDEX(Datos!$B$3:$K$12,($A76+1)+1,(B$71+1)+-1)+INDEX(Kernels!$B$21:$D$23,3,2)*INDEX(Datos!$B$3:$K$12,($A76+1)+1,(B$71+1)+0)+INDEX(Kernels!$B$21:$D$23,3,3)*INDEX(Datos!$B$3:$K$12,($A76+1)+1,(B$71+1)+1),"")</f>
        <v/>
      </c>
      <c r="C76" s="9">
        <f>IF(AND($A76&gt;=1,$A76&lt;=8,C$71&gt;=1,C$71&lt;=8),INDEX(Kernels!$B$21:$D$23,1,1)*INDEX(Datos!$B$3:$K$12,($A76+1)+-1,(C$71+1)+-1)+INDEX(Kernels!$B$21:$D$23,1,2)*INDEX(Datos!$B$3:$K$12,($A76+1)+-1,(C$71+1)+0)+INDEX(Kernels!$B$21:$D$23,1,3)*INDEX(Datos!$B$3:$K$12,($A76+1)+-1,(C$71+1)+1)+INDEX(Kernels!$B$21:$D$23,2,1)*INDEX(Datos!$B$3:$K$12,($A76+1)+0,(C$71+1)+-1)+INDEX(Kernels!$B$21:$D$23,2,2)*INDEX(Datos!$B$3:$K$12,($A76+1)+0,(C$71+1)+0)+INDEX(Kernels!$B$21:$D$23,2,3)*INDEX(Datos!$B$3:$K$12,($A76+1)+0,(C$71+1)+1)+INDEX(Kernels!$B$21:$D$23,3,1)*INDEX(Datos!$B$3:$K$12,($A76+1)+1,(C$71+1)+-1)+INDEX(Kernels!$B$21:$D$23,3,2)*INDEX(Datos!$B$3:$K$12,($A76+1)+1,(C$71+1)+0)+INDEX(Kernels!$B$21:$D$23,3,3)*INDEX(Datos!$B$3:$K$12,($A76+1)+1,(C$71+1)+1),"")</f>
        <v>-72</v>
      </c>
      <c r="D76" s="9">
        <f>IF(AND($A76&gt;=1,$A76&lt;=8,D$71&gt;=1,D$71&lt;=8),INDEX(Kernels!$B$21:$D$23,1,1)*INDEX(Datos!$B$3:$K$12,($A76+1)+-1,(D$71+1)+-1)+INDEX(Kernels!$B$21:$D$23,1,2)*INDEX(Datos!$B$3:$K$12,($A76+1)+-1,(D$71+1)+0)+INDEX(Kernels!$B$21:$D$23,1,3)*INDEX(Datos!$B$3:$K$12,($A76+1)+-1,(D$71+1)+1)+INDEX(Kernels!$B$21:$D$23,2,1)*INDEX(Datos!$B$3:$K$12,($A76+1)+0,(D$71+1)+-1)+INDEX(Kernels!$B$21:$D$23,2,2)*INDEX(Datos!$B$3:$K$12,($A76+1)+0,(D$71+1)+0)+INDEX(Kernels!$B$21:$D$23,2,3)*INDEX(Datos!$B$3:$K$12,($A76+1)+0,(D$71+1)+1)+INDEX(Kernels!$B$21:$D$23,3,1)*INDEX(Datos!$B$3:$K$12,($A76+1)+1,(D$71+1)+-1)+INDEX(Kernels!$B$21:$D$23,3,2)*INDEX(Datos!$B$3:$K$12,($A76+1)+1,(D$71+1)+0)+INDEX(Kernels!$B$21:$D$23,3,3)*INDEX(Datos!$B$3:$K$12,($A76+1)+1,(D$71+1)+1),"")</f>
        <v>50</v>
      </c>
      <c r="E76" s="9">
        <f>IF(AND($A76&gt;=1,$A76&lt;=8,E$71&gt;=1,E$71&lt;=8),INDEX(Kernels!$B$21:$D$23,1,1)*INDEX(Datos!$B$3:$K$12,($A76+1)+-1,(E$71+1)+-1)+INDEX(Kernels!$B$21:$D$23,1,2)*INDEX(Datos!$B$3:$K$12,($A76+1)+-1,(E$71+1)+0)+INDEX(Kernels!$B$21:$D$23,1,3)*INDEX(Datos!$B$3:$K$12,($A76+1)+-1,(E$71+1)+1)+INDEX(Kernels!$B$21:$D$23,2,1)*INDEX(Datos!$B$3:$K$12,($A76+1)+0,(E$71+1)+-1)+INDEX(Kernels!$B$21:$D$23,2,2)*INDEX(Datos!$B$3:$K$12,($A76+1)+0,(E$71+1)+0)+INDEX(Kernels!$B$21:$D$23,2,3)*INDEX(Datos!$B$3:$K$12,($A76+1)+0,(E$71+1)+1)+INDEX(Kernels!$B$21:$D$23,3,1)*INDEX(Datos!$B$3:$K$12,($A76+1)+1,(E$71+1)+-1)+INDEX(Kernels!$B$21:$D$23,3,2)*INDEX(Datos!$B$3:$K$12,($A76+1)+1,(E$71+1)+0)+INDEX(Kernels!$B$21:$D$23,3,3)*INDEX(Datos!$B$3:$K$12,($A76+1)+1,(E$71+1)+1),"")</f>
        <v>45</v>
      </c>
      <c r="F76" s="9">
        <f>IF(AND($A76&gt;=1,$A76&lt;=8,F$71&gt;=1,F$71&lt;=8),INDEX(Kernels!$B$21:$D$23,1,1)*INDEX(Datos!$B$3:$K$12,($A76+1)+-1,(F$71+1)+-1)+INDEX(Kernels!$B$21:$D$23,1,2)*INDEX(Datos!$B$3:$K$12,($A76+1)+-1,(F$71+1)+0)+INDEX(Kernels!$B$21:$D$23,1,3)*INDEX(Datos!$B$3:$K$12,($A76+1)+-1,(F$71+1)+1)+INDEX(Kernels!$B$21:$D$23,2,1)*INDEX(Datos!$B$3:$K$12,($A76+1)+0,(F$71+1)+-1)+INDEX(Kernels!$B$21:$D$23,2,2)*INDEX(Datos!$B$3:$K$12,($A76+1)+0,(F$71+1)+0)+INDEX(Kernels!$B$21:$D$23,2,3)*INDEX(Datos!$B$3:$K$12,($A76+1)+0,(F$71+1)+1)+INDEX(Kernels!$B$21:$D$23,3,1)*INDEX(Datos!$B$3:$K$12,($A76+1)+1,(F$71+1)+-1)+INDEX(Kernels!$B$21:$D$23,3,2)*INDEX(Datos!$B$3:$K$12,($A76+1)+1,(F$71+1)+0)+INDEX(Kernels!$B$21:$D$23,3,3)*INDEX(Datos!$B$3:$K$12,($A76+1)+1,(F$71+1)+1),"")</f>
        <v>49</v>
      </c>
      <c r="G76" s="9">
        <f>IF(AND($A76&gt;=1,$A76&lt;=8,G$71&gt;=1,G$71&lt;=8),INDEX(Kernels!$B$21:$D$23,1,1)*INDEX(Datos!$B$3:$K$12,($A76+1)+-1,(G$71+1)+-1)+INDEX(Kernels!$B$21:$D$23,1,2)*INDEX(Datos!$B$3:$K$12,($A76+1)+-1,(G$71+1)+0)+INDEX(Kernels!$B$21:$D$23,1,3)*INDEX(Datos!$B$3:$K$12,($A76+1)+-1,(G$71+1)+1)+INDEX(Kernels!$B$21:$D$23,2,1)*INDEX(Datos!$B$3:$K$12,($A76+1)+0,(G$71+1)+-1)+INDEX(Kernels!$B$21:$D$23,2,2)*INDEX(Datos!$B$3:$K$12,($A76+1)+0,(G$71+1)+0)+INDEX(Kernels!$B$21:$D$23,2,3)*INDEX(Datos!$B$3:$K$12,($A76+1)+0,(G$71+1)+1)+INDEX(Kernels!$B$21:$D$23,3,1)*INDEX(Datos!$B$3:$K$12,($A76+1)+1,(G$71+1)+-1)+INDEX(Kernels!$B$21:$D$23,3,2)*INDEX(Datos!$B$3:$K$12,($A76+1)+1,(G$71+1)+0)+INDEX(Kernels!$B$21:$D$23,3,3)*INDEX(Datos!$B$3:$K$12,($A76+1)+1,(G$71+1)+1),"")</f>
        <v>60</v>
      </c>
      <c r="H76" s="9">
        <f>IF(AND($A76&gt;=1,$A76&lt;=8,H$71&gt;=1,H$71&lt;=8),INDEX(Kernels!$B$21:$D$23,1,1)*INDEX(Datos!$B$3:$K$12,($A76+1)+-1,(H$71+1)+-1)+INDEX(Kernels!$B$21:$D$23,1,2)*INDEX(Datos!$B$3:$K$12,($A76+1)+-1,(H$71+1)+0)+INDEX(Kernels!$B$21:$D$23,1,3)*INDEX(Datos!$B$3:$K$12,($A76+1)+-1,(H$71+1)+1)+INDEX(Kernels!$B$21:$D$23,2,1)*INDEX(Datos!$B$3:$K$12,($A76+1)+0,(H$71+1)+-1)+INDEX(Kernels!$B$21:$D$23,2,2)*INDEX(Datos!$B$3:$K$12,($A76+1)+0,(H$71+1)+0)+INDEX(Kernels!$B$21:$D$23,2,3)*INDEX(Datos!$B$3:$K$12,($A76+1)+0,(H$71+1)+1)+INDEX(Kernels!$B$21:$D$23,3,1)*INDEX(Datos!$B$3:$K$12,($A76+1)+1,(H$71+1)+-1)+INDEX(Kernels!$B$21:$D$23,3,2)*INDEX(Datos!$B$3:$K$12,($A76+1)+1,(H$71+1)+0)+INDEX(Kernels!$B$21:$D$23,3,3)*INDEX(Datos!$B$3:$K$12,($A76+1)+1,(H$71+1)+1),"")</f>
        <v>-43</v>
      </c>
      <c r="I76" s="9">
        <f>IF(AND($A76&gt;=1,$A76&lt;=8,I$71&gt;=1,I$71&lt;=8),INDEX(Kernels!$B$21:$D$23,1,1)*INDEX(Datos!$B$3:$K$12,($A76+1)+-1,(I$71+1)+-1)+INDEX(Kernels!$B$21:$D$23,1,2)*INDEX(Datos!$B$3:$K$12,($A76+1)+-1,(I$71+1)+0)+INDEX(Kernels!$B$21:$D$23,1,3)*INDEX(Datos!$B$3:$K$12,($A76+1)+-1,(I$71+1)+1)+INDEX(Kernels!$B$21:$D$23,2,1)*INDEX(Datos!$B$3:$K$12,($A76+1)+0,(I$71+1)+-1)+INDEX(Kernels!$B$21:$D$23,2,2)*INDEX(Datos!$B$3:$K$12,($A76+1)+0,(I$71+1)+0)+INDEX(Kernels!$B$21:$D$23,2,3)*INDEX(Datos!$B$3:$K$12,($A76+1)+0,(I$71+1)+1)+INDEX(Kernels!$B$21:$D$23,3,1)*INDEX(Datos!$B$3:$K$12,($A76+1)+1,(I$71+1)+-1)+INDEX(Kernels!$B$21:$D$23,3,2)*INDEX(Datos!$B$3:$K$12,($A76+1)+1,(I$71+1)+0)+INDEX(Kernels!$B$21:$D$23,3,3)*INDEX(Datos!$B$3:$K$12,($A76+1)+1,(I$71+1)+1),"")</f>
        <v>-16</v>
      </c>
      <c r="J76" s="9">
        <f>IF(AND($A76&gt;=1,$A76&lt;=8,J$71&gt;=1,J$71&lt;=8),INDEX(Kernels!$B$21:$D$23,1,1)*INDEX(Datos!$B$3:$K$12,($A76+1)+-1,(J$71+1)+-1)+INDEX(Kernels!$B$21:$D$23,1,2)*INDEX(Datos!$B$3:$K$12,($A76+1)+-1,(J$71+1)+0)+INDEX(Kernels!$B$21:$D$23,1,3)*INDEX(Datos!$B$3:$K$12,($A76+1)+-1,(J$71+1)+1)+INDEX(Kernels!$B$21:$D$23,2,1)*INDEX(Datos!$B$3:$K$12,($A76+1)+0,(J$71+1)+-1)+INDEX(Kernels!$B$21:$D$23,2,2)*INDEX(Datos!$B$3:$K$12,($A76+1)+0,(J$71+1)+0)+INDEX(Kernels!$B$21:$D$23,2,3)*INDEX(Datos!$B$3:$K$12,($A76+1)+0,(J$71+1)+1)+INDEX(Kernels!$B$21:$D$23,3,1)*INDEX(Datos!$B$3:$K$12,($A76+1)+1,(J$71+1)+-1)+INDEX(Kernels!$B$21:$D$23,3,2)*INDEX(Datos!$B$3:$K$12,($A76+1)+1,(J$71+1)+0)+INDEX(Kernels!$B$21:$D$23,3,3)*INDEX(Datos!$B$3:$K$12,($A76+1)+1,(J$71+1)+1),"")</f>
        <v>37</v>
      </c>
      <c r="K76" s="9" t="str">
        <f>IF(AND($A76&gt;=1,$A76&lt;=8,K$71&gt;=1,K$71&lt;=8),INDEX(Kernels!$B$21:$D$23,1,1)*INDEX(Datos!$B$3:$K$12,($A76+1)+-1,(K$71+1)+-1)+INDEX(Kernels!$B$21:$D$23,1,2)*INDEX(Datos!$B$3:$K$12,($A76+1)+-1,(K$71+1)+0)+INDEX(Kernels!$B$21:$D$23,1,3)*INDEX(Datos!$B$3:$K$12,($A76+1)+-1,(K$71+1)+1)+INDEX(Kernels!$B$21:$D$23,2,1)*INDEX(Datos!$B$3:$K$12,($A76+1)+0,(K$71+1)+-1)+INDEX(Kernels!$B$21:$D$23,2,2)*INDEX(Datos!$B$3:$K$12,($A76+1)+0,(K$71+1)+0)+INDEX(Kernels!$B$21:$D$23,2,3)*INDEX(Datos!$B$3:$K$12,($A76+1)+0,(K$71+1)+1)+INDEX(Kernels!$B$21:$D$23,3,1)*INDEX(Datos!$B$3:$K$12,($A76+1)+1,(K$71+1)+-1)+INDEX(Kernels!$B$21:$D$23,3,2)*INDEX(Datos!$B$3:$K$12,($A76+1)+1,(K$71+1)+0)+INDEX(Kernels!$B$21:$D$23,3,3)*INDEX(Datos!$B$3:$K$12,($A76+1)+1,(K$71+1)+1),"")</f>
        <v/>
      </c>
    </row>
    <row r="77" spans="1:11" ht="24" customHeight="1" x14ac:dyDescent="0.2">
      <c r="A77" s="10">
        <v>5</v>
      </c>
      <c r="B77" s="9" t="str">
        <f>IF(AND($A77&gt;=1,$A77&lt;=8,B$71&gt;=1,B$71&lt;=8),INDEX(Kernels!$B$21:$D$23,1,1)*INDEX(Datos!$B$3:$K$12,($A77+1)+-1,(B$71+1)+-1)+INDEX(Kernels!$B$21:$D$23,1,2)*INDEX(Datos!$B$3:$K$12,($A77+1)+-1,(B$71+1)+0)+INDEX(Kernels!$B$21:$D$23,1,3)*INDEX(Datos!$B$3:$K$12,($A77+1)+-1,(B$71+1)+1)+INDEX(Kernels!$B$21:$D$23,2,1)*INDEX(Datos!$B$3:$K$12,($A77+1)+0,(B$71+1)+-1)+INDEX(Kernels!$B$21:$D$23,2,2)*INDEX(Datos!$B$3:$K$12,($A77+1)+0,(B$71+1)+0)+INDEX(Kernels!$B$21:$D$23,2,3)*INDEX(Datos!$B$3:$K$12,($A77+1)+0,(B$71+1)+1)+INDEX(Kernels!$B$21:$D$23,3,1)*INDEX(Datos!$B$3:$K$12,($A77+1)+1,(B$71+1)+-1)+INDEX(Kernels!$B$21:$D$23,3,2)*INDEX(Datos!$B$3:$K$12,($A77+1)+1,(B$71+1)+0)+INDEX(Kernels!$B$21:$D$23,3,3)*INDEX(Datos!$B$3:$K$12,($A77+1)+1,(B$71+1)+1),"")</f>
        <v/>
      </c>
      <c r="C77" s="9">
        <f>IF(AND($A77&gt;=1,$A77&lt;=8,C$71&gt;=1,C$71&lt;=8),INDEX(Kernels!$B$21:$D$23,1,1)*INDEX(Datos!$B$3:$K$12,($A77+1)+-1,(C$71+1)+-1)+INDEX(Kernels!$B$21:$D$23,1,2)*INDEX(Datos!$B$3:$K$12,($A77+1)+-1,(C$71+1)+0)+INDEX(Kernels!$B$21:$D$23,1,3)*INDEX(Datos!$B$3:$K$12,($A77+1)+-1,(C$71+1)+1)+INDEX(Kernels!$B$21:$D$23,2,1)*INDEX(Datos!$B$3:$K$12,($A77+1)+0,(C$71+1)+-1)+INDEX(Kernels!$B$21:$D$23,2,2)*INDEX(Datos!$B$3:$K$12,($A77+1)+0,(C$71+1)+0)+INDEX(Kernels!$B$21:$D$23,2,3)*INDEX(Datos!$B$3:$K$12,($A77+1)+0,(C$71+1)+1)+INDEX(Kernels!$B$21:$D$23,3,1)*INDEX(Datos!$B$3:$K$12,($A77+1)+1,(C$71+1)+-1)+INDEX(Kernels!$B$21:$D$23,3,2)*INDEX(Datos!$B$3:$K$12,($A77+1)+1,(C$71+1)+0)+INDEX(Kernels!$B$21:$D$23,3,3)*INDEX(Datos!$B$3:$K$12,($A77+1)+1,(C$71+1)+1),"")</f>
        <v>-6</v>
      </c>
      <c r="D77" s="9">
        <f>IF(AND($A77&gt;=1,$A77&lt;=8,D$71&gt;=1,D$71&lt;=8),INDEX(Kernels!$B$21:$D$23,1,1)*INDEX(Datos!$B$3:$K$12,($A77+1)+-1,(D$71+1)+-1)+INDEX(Kernels!$B$21:$D$23,1,2)*INDEX(Datos!$B$3:$K$12,($A77+1)+-1,(D$71+1)+0)+INDEX(Kernels!$B$21:$D$23,1,3)*INDEX(Datos!$B$3:$K$12,($A77+1)+-1,(D$71+1)+1)+INDEX(Kernels!$B$21:$D$23,2,1)*INDEX(Datos!$B$3:$K$12,($A77+1)+0,(D$71+1)+-1)+INDEX(Kernels!$B$21:$D$23,2,2)*INDEX(Datos!$B$3:$K$12,($A77+1)+0,(D$71+1)+0)+INDEX(Kernels!$B$21:$D$23,2,3)*INDEX(Datos!$B$3:$K$12,($A77+1)+0,(D$71+1)+1)+INDEX(Kernels!$B$21:$D$23,3,1)*INDEX(Datos!$B$3:$K$12,($A77+1)+1,(D$71+1)+-1)+INDEX(Kernels!$B$21:$D$23,3,2)*INDEX(Datos!$B$3:$K$12,($A77+1)+1,(D$71+1)+0)+INDEX(Kernels!$B$21:$D$23,3,3)*INDEX(Datos!$B$3:$K$12,($A77+1)+1,(D$71+1)+1),"")</f>
        <v>54</v>
      </c>
      <c r="E77" s="9">
        <f>IF(AND($A77&gt;=1,$A77&lt;=8,E$71&gt;=1,E$71&lt;=8),INDEX(Kernels!$B$21:$D$23,1,1)*INDEX(Datos!$B$3:$K$12,($A77+1)+-1,(E$71+1)+-1)+INDEX(Kernels!$B$21:$D$23,1,2)*INDEX(Datos!$B$3:$K$12,($A77+1)+-1,(E$71+1)+0)+INDEX(Kernels!$B$21:$D$23,1,3)*INDEX(Datos!$B$3:$K$12,($A77+1)+-1,(E$71+1)+1)+INDEX(Kernels!$B$21:$D$23,2,1)*INDEX(Datos!$B$3:$K$12,($A77+1)+0,(E$71+1)+-1)+INDEX(Kernels!$B$21:$D$23,2,2)*INDEX(Datos!$B$3:$K$12,($A77+1)+0,(E$71+1)+0)+INDEX(Kernels!$B$21:$D$23,2,3)*INDEX(Datos!$B$3:$K$12,($A77+1)+0,(E$71+1)+1)+INDEX(Kernels!$B$21:$D$23,3,1)*INDEX(Datos!$B$3:$K$12,($A77+1)+1,(E$71+1)+-1)+INDEX(Kernels!$B$21:$D$23,3,2)*INDEX(Datos!$B$3:$K$12,($A77+1)+1,(E$71+1)+0)+INDEX(Kernels!$B$21:$D$23,3,3)*INDEX(Datos!$B$3:$K$12,($A77+1)+1,(E$71+1)+1),"")</f>
        <v>34</v>
      </c>
      <c r="F77" s="9">
        <f>IF(AND($A77&gt;=1,$A77&lt;=8,F$71&gt;=1,F$71&lt;=8),INDEX(Kernels!$B$21:$D$23,1,1)*INDEX(Datos!$B$3:$K$12,($A77+1)+-1,(F$71+1)+-1)+INDEX(Kernels!$B$21:$D$23,1,2)*INDEX(Datos!$B$3:$K$12,($A77+1)+-1,(F$71+1)+0)+INDEX(Kernels!$B$21:$D$23,1,3)*INDEX(Datos!$B$3:$K$12,($A77+1)+-1,(F$71+1)+1)+INDEX(Kernels!$B$21:$D$23,2,1)*INDEX(Datos!$B$3:$K$12,($A77+1)+0,(F$71+1)+-1)+INDEX(Kernels!$B$21:$D$23,2,2)*INDEX(Datos!$B$3:$K$12,($A77+1)+0,(F$71+1)+0)+INDEX(Kernels!$B$21:$D$23,2,3)*INDEX(Datos!$B$3:$K$12,($A77+1)+0,(F$71+1)+1)+INDEX(Kernels!$B$21:$D$23,3,1)*INDEX(Datos!$B$3:$K$12,($A77+1)+1,(F$71+1)+-1)+INDEX(Kernels!$B$21:$D$23,3,2)*INDEX(Datos!$B$3:$K$12,($A77+1)+1,(F$71+1)+0)+INDEX(Kernels!$B$21:$D$23,3,3)*INDEX(Datos!$B$3:$K$12,($A77+1)+1,(F$71+1)+1),"")</f>
        <v>3</v>
      </c>
      <c r="G77" s="9">
        <f>IF(AND($A77&gt;=1,$A77&lt;=8,G$71&gt;=1,G$71&lt;=8),INDEX(Kernels!$B$21:$D$23,1,1)*INDEX(Datos!$B$3:$K$12,($A77+1)+-1,(G$71+1)+-1)+INDEX(Kernels!$B$21:$D$23,1,2)*INDEX(Datos!$B$3:$K$12,($A77+1)+-1,(G$71+1)+0)+INDEX(Kernels!$B$21:$D$23,1,3)*INDEX(Datos!$B$3:$K$12,($A77+1)+-1,(G$71+1)+1)+INDEX(Kernels!$B$21:$D$23,2,1)*INDEX(Datos!$B$3:$K$12,($A77+1)+0,(G$71+1)+-1)+INDEX(Kernels!$B$21:$D$23,2,2)*INDEX(Datos!$B$3:$K$12,($A77+1)+0,(G$71+1)+0)+INDEX(Kernels!$B$21:$D$23,2,3)*INDEX(Datos!$B$3:$K$12,($A77+1)+0,(G$71+1)+1)+INDEX(Kernels!$B$21:$D$23,3,1)*INDEX(Datos!$B$3:$K$12,($A77+1)+1,(G$71+1)+-1)+INDEX(Kernels!$B$21:$D$23,3,2)*INDEX(Datos!$B$3:$K$12,($A77+1)+1,(G$71+1)+0)+INDEX(Kernels!$B$21:$D$23,3,3)*INDEX(Datos!$B$3:$K$12,($A77+1)+1,(G$71+1)+1),"")</f>
        <v>-4</v>
      </c>
      <c r="H77" s="9">
        <f>IF(AND($A77&gt;=1,$A77&lt;=8,H$71&gt;=1,H$71&lt;=8),INDEX(Kernels!$B$21:$D$23,1,1)*INDEX(Datos!$B$3:$K$12,($A77+1)+-1,(H$71+1)+-1)+INDEX(Kernels!$B$21:$D$23,1,2)*INDEX(Datos!$B$3:$K$12,($A77+1)+-1,(H$71+1)+0)+INDEX(Kernels!$B$21:$D$23,1,3)*INDEX(Datos!$B$3:$K$12,($A77+1)+-1,(H$71+1)+1)+INDEX(Kernels!$B$21:$D$23,2,1)*INDEX(Datos!$B$3:$K$12,($A77+1)+0,(H$71+1)+-1)+INDEX(Kernels!$B$21:$D$23,2,2)*INDEX(Datos!$B$3:$K$12,($A77+1)+0,(H$71+1)+0)+INDEX(Kernels!$B$21:$D$23,2,3)*INDEX(Datos!$B$3:$K$12,($A77+1)+0,(H$71+1)+1)+INDEX(Kernels!$B$21:$D$23,3,1)*INDEX(Datos!$B$3:$K$12,($A77+1)+1,(H$71+1)+-1)+INDEX(Kernels!$B$21:$D$23,3,2)*INDEX(Datos!$B$3:$K$12,($A77+1)+1,(H$71+1)+0)+INDEX(Kernels!$B$21:$D$23,3,3)*INDEX(Datos!$B$3:$K$12,($A77+1)+1,(H$71+1)+1),"")</f>
        <v>-41</v>
      </c>
      <c r="I77" s="9">
        <f>IF(AND($A77&gt;=1,$A77&lt;=8,I$71&gt;=1,I$71&lt;=8),INDEX(Kernels!$B$21:$D$23,1,1)*INDEX(Datos!$B$3:$K$12,($A77+1)+-1,(I$71+1)+-1)+INDEX(Kernels!$B$21:$D$23,1,2)*INDEX(Datos!$B$3:$K$12,($A77+1)+-1,(I$71+1)+0)+INDEX(Kernels!$B$21:$D$23,1,3)*INDEX(Datos!$B$3:$K$12,($A77+1)+-1,(I$71+1)+1)+INDEX(Kernels!$B$21:$D$23,2,1)*INDEX(Datos!$B$3:$K$12,($A77+1)+0,(I$71+1)+-1)+INDEX(Kernels!$B$21:$D$23,2,2)*INDEX(Datos!$B$3:$K$12,($A77+1)+0,(I$71+1)+0)+INDEX(Kernels!$B$21:$D$23,2,3)*INDEX(Datos!$B$3:$K$12,($A77+1)+0,(I$71+1)+1)+INDEX(Kernels!$B$21:$D$23,3,1)*INDEX(Datos!$B$3:$K$12,($A77+1)+1,(I$71+1)+-1)+INDEX(Kernels!$B$21:$D$23,3,2)*INDEX(Datos!$B$3:$K$12,($A77+1)+1,(I$71+1)+0)+INDEX(Kernels!$B$21:$D$23,3,3)*INDEX(Datos!$B$3:$K$12,($A77+1)+1,(I$71+1)+1),"")</f>
        <v>-20</v>
      </c>
      <c r="J77" s="9">
        <f>IF(AND($A77&gt;=1,$A77&lt;=8,J$71&gt;=1,J$71&lt;=8),INDEX(Kernels!$B$21:$D$23,1,1)*INDEX(Datos!$B$3:$K$12,($A77+1)+-1,(J$71+1)+-1)+INDEX(Kernels!$B$21:$D$23,1,2)*INDEX(Datos!$B$3:$K$12,($A77+1)+-1,(J$71+1)+0)+INDEX(Kernels!$B$21:$D$23,1,3)*INDEX(Datos!$B$3:$K$12,($A77+1)+-1,(J$71+1)+1)+INDEX(Kernels!$B$21:$D$23,2,1)*INDEX(Datos!$B$3:$K$12,($A77+1)+0,(J$71+1)+-1)+INDEX(Kernels!$B$21:$D$23,2,2)*INDEX(Datos!$B$3:$K$12,($A77+1)+0,(J$71+1)+0)+INDEX(Kernels!$B$21:$D$23,2,3)*INDEX(Datos!$B$3:$K$12,($A77+1)+0,(J$71+1)+1)+INDEX(Kernels!$B$21:$D$23,3,1)*INDEX(Datos!$B$3:$K$12,($A77+1)+1,(J$71+1)+-1)+INDEX(Kernels!$B$21:$D$23,3,2)*INDEX(Datos!$B$3:$K$12,($A77+1)+1,(J$71+1)+0)+INDEX(Kernels!$B$21:$D$23,3,3)*INDEX(Datos!$B$3:$K$12,($A77+1)+1,(J$71+1)+1),"")</f>
        <v>22</v>
      </c>
      <c r="K77" s="9" t="str">
        <f>IF(AND($A77&gt;=1,$A77&lt;=8,K$71&gt;=1,K$71&lt;=8),INDEX(Kernels!$B$21:$D$23,1,1)*INDEX(Datos!$B$3:$K$12,($A77+1)+-1,(K$71+1)+-1)+INDEX(Kernels!$B$21:$D$23,1,2)*INDEX(Datos!$B$3:$K$12,($A77+1)+-1,(K$71+1)+0)+INDEX(Kernels!$B$21:$D$23,1,3)*INDEX(Datos!$B$3:$K$12,($A77+1)+-1,(K$71+1)+1)+INDEX(Kernels!$B$21:$D$23,2,1)*INDEX(Datos!$B$3:$K$12,($A77+1)+0,(K$71+1)+-1)+INDEX(Kernels!$B$21:$D$23,2,2)*INDEX(Datos!$B$3:$K$12,($A77+1)+0,(K$71+1)+0)+INDEX(Kernels!$B$21:$D$23,2,3)*INDEX(Datos!$B$3:$K$12,($A77+1)+0,(K$71+1)+1)+INDEX(Kernels!$B$21:$D$23,3,1)*INDEX(Datos!$B$3:$K$12,($A77+1)+1,(K$71+1)+-1)+INDEX(Kernels!$B$21:$D$23,3,2)*INDEX(Datos!$B$3:$K$12,($A77+1)+1,(K$71+1)+0)+INDEX(Kernels!$B$21:$D$23,3,3)*INDEX(Datos!$B$3:$K$12,($A77+1)+1,(K$71+1)+1),"")</f>
        <v/>
      </c>
    </row>
    <row r="78" spans="1:11" ht="24" customHeight="1" x14ac:dyDescent="0.2">
      <c r="A78" s="10">
        <v>6</v>
      </c>
      <c r="B78" s="9" t="str">
        <f>IF(AND($A78&gt;=1,$A78&lt;=8,B$71&gt;=1,B$71&lt;=8),INDEX(Kernels!$B$21:$D$23,1,1)*INDEX(Datos!$B$3:$K$12,($A78+1)+-1,(B$71+1)+-1)+INDEX(Kernels!$B$21:$D$23,1,2)*INDEX(Datos!$B$3:$K$12,($A78+1)+-1,(B$71+1)+0)+INDEX(Kernels!$B$21:$D$23,1,3)*INDEX(Datos!$B$3:$K$12,($A78+1)+-1,(B$71+1)+1)+INDEX(Kernels!$B$21:$D$23,2,1)*INDEX(Datos!$B$3:$K$12,($A78+1)+0,(B$71+1)+-1)+INDEX(Kernels!$B$21:$D$23,2,2)*INDEX(Datos!$B$3:$K$12,($A78+1)+0,(B$71+1)+0)+INDEX(Kernels!$B$21:$D$23,2,3)*INDEX(Datos!$B$3:$K$12,($A78+1)+0,(B$71+1)+1)+INDEX(Kernels!$B$21:$D$23,3,1)*INDEX(Datos!$B$3:$K$12,($A78+1)+1,(B$71+1)+-1)+INDEX(Kernels!$B$21:$D$23,3,2)*INDEX(Datos!$B$3:$K$12,($A78+1)+1,(B$71+1)+0)+INDEX(Kernels!$B$21:$D$23,3,3)*INDEX(Datos!$B$3:$K$12,($A78+1)+1,(B$71+1)+1),"")</f>
        <v/>
      </c>
      <c r="C78" s="9">
        <f>IF(AND($A78&gt;=1,$A78&lt;=8,C$71&gt;=1,C$71&lt;=8),INDEX(Kernels!$B$21:$D$23,1,1)*INDEX(Datos!$B$3:$K$12,($A78+1)+-1,(C$71+1)+-1)+INDEX(Kernels!$B$21:$D$23,1,2)*INDEX(Datos!$B$3:$K$12,($A78+1)+-1,(C$71+1)+0)+INDEX(Kernels!$B$21:$D$23,1,3)*INDEX(Datos!$B$3:$K$12,($A78+1)+-1,(C$71+1)+1)+INDEX(Kernels!$B$21:$D$23,2,1)*INDEX(Datos!$B$3:$K$12,($A78+1)+0,(C$71+1)+-1)+INDEX(Kernels!$B$21:$D$23,2,2)*INDEX(Datos!$B$3:$K$12,($A78+1)+0,(C$71+1)+0)+INDEX(Kernels!$B$21:$D$23,2,3)*INDEX(Datos!$B$3:$K$12,($A78+1)+0,(C$71+1)+1)+INDEX(Kernels!$B$21:$D$23,3,1)*INDEX(Datos!$B$3:$K$12,($A78+1)+1,(C$71+1)+-1)+INDEX(Kernels!$B$21:$D$23,3,2)*INDEX(Datos!$B$3:$K$12,($A78+1)+1,(C$71+1)+0)+INDEX(Kernels!$B$21:$D$23,3,3)*INDEX(Datos!$B$3:$K$12,($A78+1)+1,(C$71+1)+1),"")</f>
        <v>43</v>
      </c>
      <c r="D78" s="9">
        <f>IF(AND($A78&gt;=1,$A78&lt;=8,D$71&gt;=1,D$71&lt;=8),INDEX(Kernels!$B$21:$D$23,1,1)*INDEX(Datos!$B$3:$K$12,($A78+1)+-1,(D$71+1)+-1)+INDEX(Kernels!$B$21:$D$23,1,2)*INDEX(Datos!$B$3:$K$12,($A78+1)+-1,(D$71+1)+0)+INDEX(Kernels!$B$21:$D$23,1,3)*INDEX(Datos!$B$3:$K$12,($A78+1)+-1,(D$71+1)+1)+INDEX(Kernels!$B$21:$D$23,2,1)*INDEX(Datos!$B$3:$K$12,($A78+1)+0,(D$71+1)+-1)+INDEX(Kernels!$B$21:$D$23,2,2)*INDEX(Datos!$B$3:$K$12,($A78+1)+0,(D$71+1)+0)+INDEX(Kernels!$B$21:$D$23,2,3)*INDEX(Datos!$B$3:$K$12,($A78+1)+0,(D$71+1)+1)+INDEX(Kernels!$B$21:$D$23,3,1)*INDEX(Datos!$B$3:$K$12,($A78+1)+1,(D$71+1)+-1)+INDEX(Kernels!$B$21:$D$23,3,2)*INDEX(Datos!$B$3:$K$12,($A78+1)+1,(D$71+1)+0)+INDEX(Kernels!$B$21:$D$23,3,3)*INDEX(Datos!$B$3:$K$12,($A78+1)+1,(D$71+1)+1),"")</f>
        <v>-8</v>
      </c>
      <c r="E78" s="9">
        <f>IF(AND($A78&gt;=1,$A78&lt;=8,E$71&gt;=1,E$71&lt;=8),INDEX(Kernels!$B$21:$D$23,1,1)*INDEX(Datos!$B$3:$K$12,($A78+1)+-1,(E$71+1)+-1)+INDEX(Kernels!$B$21:$D$23,1,2)*INDEX(Datos!$B$3:$K$12,($A78+1)+-1,(E$71+1)+0)+INDEX(Kernels!$B$21:$D$23,1,3)*INDEX(Datos!$B$3:$K$12,($A78+1)+-1,(E$71+1)+1)+INDEX(Kernels!$B$21:$D$23,2,1)*INDEX(Datos!$B$3:$K$12,($A78+1)+0,(E$71+1)+-1)+INDEX(Kernels!$B$21:$D$23,2,2)*INDEX(Datos!$B$3:$K$12,($A78+1)+0,(E$71+1)+0)+INDEX(Kernels!$B$21:$D$23,2,3)*INDEX(Datos!$B$3:$K$12,($A78+1)+0,(E$71+1)+1)+INDEX(Kernels!$B$21:$D$23,3,1)*INDEX(Datos!$B$3:$K$12,($A78+1)+1,(E$71+1)+-1)+INDEX(Kernels!$B$21:$D$23,3,2)*INDEX(Datos!$B$3:$K$12,($A78+1)+1,(E$71+1)+0)+INDEX(Kernels!$B$21:$D$23,3,3)*INDEX(Datos!$B$3:$K$12,($A78+1)+1,(E$71+1)+1),"")</f>
        <v>-32</v>
      </c>
      <c r="F78" s="9">
        <f>IF(AND($A78&gt;=1,$A78&lt;=8,F$71&gt;=1,F$71&lt;=8),INDEX(Kernels!$B$21:$D$23,1,1)*INDEX(Datos!$B$3:$K$12,($A78+1)+-1,(F$71+1)+-1)+INDEX(Kernels!$B$21:$D$23,1,2)*INDEX(Datos!$B$3:$K$12,($A78+1)+-1,(F$71+1)+0)+INDEX(Kernels!$B$21:$D$23,1,3)*INDEX(Datos!$B$3:$K$12,($A78+1)+-1,(F$71+1)+1)+INDEX(Kernels!$B$21:$D$23,2,1)*INDEX(Datos!$B$3:$K$12,($A78+1)+0,(F$71+1)+-1)+INDEX(Kernels!$B$21:$D$23,2,2)*INDEX(Datos!$B$3:$K$12,($A78+1)+0,(F$71+1)+0)+INDEX(Kernels!$B$21:$D$23,2,3)*INDEX(Datos!$B$3:$K$12,($A78+1)+0,(F$71+1)+1)+INDEX(Kernels!$B$21:$D$23,3,1)*INDEX(Datos!$B$3:$K$12,($A78+1)+1,(F$71+1)+-1)+INDEX(Kernels!$B$21:$D$23,3,2)*INDEX(Datos!$B$3:$K$12,($A78+1)+1,(F$71+1)+0)+INDEX(Kernels!$B$21:$D$23,3,3)*INDEX(Datos!$B$3:$K$12,($A78+1)+1,(F$71+1)+1),"")</f>
        <v>-53</v>
      </c>
      <c r="G78" s="9">
        <f>IF(AND($A78&gt;=1,$A78&lt;=8,G$71&gt;=1,G$71&lt;=8),INDEX(Kernels!$B$21:$D$23,1,1)*INDEX(Datos!$B$3:$K$12,($A78+1)+-1,(G$71+1)+-1)+INDEX(Kernels!$B$21:$D$23,1,2)*INDEX(Datos!$B$3:$K$12,($A78+1)+-1,(G$71+1)+0)+INDEX(Kernels!$B$21:$D$23,1,3)*INDEX(Datos!$B$3:$K$12,($A78+1)+-1,(G$71+1)+1)+INDEX(Kernels!$B$21:$D$23,2,1)*INDEX(Datos!$B$3:$K$12,($A78+1)+0,(G$71+1)+-1)+INDEX(Kernels!$B$21:$D$23,2,2)*INDEX(Datos!$B$3:$K$12,($A78+1)+0,(G$71+1)+0)+INDEX(Kernels!$B$21:$D$23,2,3)*INDEX(Datos!$B$3:$K$12,($A78+1)+0,(G$71+1)+1)+INDEX(Kernels!$B$21:$D$23,3,1)*INDEX(Datos!$B$3:$K$12,($A78+1)+1,(G$71+1)+-1)+INDEX(Kernels!$B$21:$D$23,3,2)*INDEX(Datos!$B$3:$K$12,($A78+1)+1,(G$71+1)+0)+INDEX(Kernels!$B$21:$D$23,3,3)*INDEX(Datos!$B$3:$K$12,($A78+1)+1,(G$71+1)+1),"")</f>
        <v>-51</v>
      </c>
      <c r="H78" s="9">
        <f>IF(AND($A78&gt;=1,$A78&lt;=8,H$71&gt;=1,H$71&lt;=8),INDEX(Kernels!$B$21:$D$23,1,1)*INDEX(Datos!$B$3:$K$12,($A78+1)+-1,(H$71+1)+-1)+INDEX(Kernels!$B$21:$D$23,1,2)*INDEX(Datos!$B$3:$K$12,($A78+1)+-1,(H$71+1)+0)+INDEX(Kernels!$B$21:$D$23,1,3)*INDEX(Datos!$B$3:$K$12,($A78+1)+-1,(H$71+1)+1)+INDEX(Kernels!$B$21:$D$23,2,1)*INDEX(Datos!$B$3:$K$12,($A78+1)+0,(H$71+1)+-1)+INDEX(Kernels!$B$21:$D$23,2,2)*INDEX(Datos!$B$3:$K$12,($A78+1)+0,(H$71+1)+0)+INDEX(Kernels!$B$21:$D$23,2,3)*INDEX(Datos!$B$3:$K$12,($A78+1)+0,(H$71+1)+1)+INDEX(Kernels!$B$21:$D$23,3,1)*INDEX(Datos!$B$3:$K$12,($A78+1)+1,(H$71+1)+-1)+INDEX(Kernels!$B$21:$D$23,3,2)*INDEX(Datos!$B$3:$K$12,($A78+1)+1,(H$71+1)+0)+INDEX(Kernels!$B$21:$D$23,3,3)*INDEX(Datos!$B$3:$K$12,($A78+1)+1,(H$71+1)+1),"")</f>
        <v>4</v>
      </c>
      <c r="I78" s="9">
        <f>IF(AND($A78&gt;=1,$A78&lt;=8,I$71&gt;=1,I$71&lt;=8),INDEX(Kernels!$B$21:$D$23,1,1)*INDEX(Datos!$B$3:$K$12,($A78+1)+-1,(I$71+1)+-1)+INDEX(Kernels!$B$21:$D$23,1,2)*INDEX(Datos!$B$3:$K$12,($A78+1)+-1,(I$71+1)+0)+INDEX(Kernels!$B$21:$D$23,1,3)*INDEX(Datos!$B$3:$K$12,($A78+1)+-1,(I$71+1)+1)+INDEX(Kernels!$B$21:$D$23,2,1)*INDEX(Datos!$B$3:$K$12,($A78+1)+0,(I$71+1)+-1)+INDEX(Kernels!$B$21:$D$23,2,2)*INDEX(Datos!$B$3:$K$12,($A78+1)+0,(I$71+1)+0)+INDEX(Kernels!$B$21:$D$23,2,3)*INDEX(Datos!$B$3:$K$12,($A78+1)+0,(I$71+1)+1)+INDEX(Kernels!$B$21:$D$23,3,1)*INDEX(Datos!$B$3:$K$12,($A78+1)+1,(I$71+1)+-1)+INDEX(Kernels!$B$21:$D$23,3,2)*INDEX(Datos!$B$3:$K$12,($A78+1)+1,(I$71+1)+0)+INDEX(Kernels!$B$21:$D$23,3,3)*INDEX(Datos!$B$3:$K$12,($A78+1)+1,(I$71+1)+1),"")</f>
        <v>15</v>
      </c>
      <c r="J78" s="9">
        <f>IF(AND($A78&gt;=1,$A78&lt;=8,J$71&gt;=1,J$71&lt;=8),INDEX(Kernels!$B$21:$D$23,1,1)*INDEX(Datos!$B$3:$K$12,($A78+1)+-1,(J$71+1)+-1)+INDEX(Kernels!$B$21:$D$23,1,2)*INDEX(Datos!$B$3:$K$12,($A78+1)+-1,(J$71+1)+0)+INDEX(Kernels!$B$21:$D$23,1,3)*INDEX(Datos!$B$3:$K$12,($A78+1)+-1,(J$71+1)+1)+INDEX(Kernels!$B$21:$D$23,2,1)*INDEX(Datos!$B$3:$K$12,($A78+1)+0,(J$71+1)+-1)+INDEX(Kernels!$B$21:$D$23,2,2)*INDEX(Datos!$B$3:$K$12,($A78+1)+0,(J$71+1)+0)+INDEX(Kernels!$B$21:$D$23,2,3)*INDEX(Datos!$B$3:$K$12,($A78+1)+0,(J$71+1)+1)+INDEX(Kernels!$B$21:$D$23,3,1)*INDEX(Datos!$B$3:$K$12,($A78+1)+1,(J$71+1)+-1)+INDEX(Kernels!$B$21:$D$23,3,2)*INDEX(Datos!$B$3:$K$12,($A78+1)+1,(J$71+1)+0)+INDEX(Kernels!$B$21:$D$23,3,3)*INDEX(Datos!$B$3:$K$12,($A78+1)+1,(J$71+1)+1),"")</f>
        <v>-105</v>
      </c>
      <c r="K78" s="9" t="str">
        <f>IF(AND($A78&gt;=1,$A78&lt;=8,K$71&gt;=1,K$71&lt;=8),INDEX(Kernels!$B$21:$D$23,1,1)*INDEX(Datos!$B$3:$K$12,($A78+1)+-1,(K$71+1)+-1)+INDEX(Kernels!$B$21:$D$23,1,2)*INDEX(Datos!$B$3:$K$12,($A78+1)+-1,(K$71+1)+0)+INDEX(Kernels!$B$21:$D$23,1,3)*INDEX(Datos!$B$3:$K$12,($A78+1)+-1,(K$71+1)+1)+INDEX(Kernels!$B$21:$D$23,2,1)*INDEX(Datos!$B$3:$K$12,($A78+1)+0,(K$71+1)+-1)+INDEX(Kernels!$B$21:$D$23,2,2)*INDEX(Datos!$B$3:$K$12,($A78+1)+0,(K$71+1)+0)+INDEX(Kernels!$B$21:$D$23,2,3)*INDEX(Datos!$B$3:$K$12,($A78+1)+0,(K$71+1)+1)+INDEX(Kernels!$B$21:$D$23,3,1)*INDEX(Datos!$B$3:$K$12,($A78+1)+1,(K$71+1)+-1)+INDEX(Kernels!$B$21:$D$23,3,2)*INDEX(Datos!$B$3:$K$12,($A78+1)+1,(K$71+1)+0)+INDEX(Kernels!$B$21:$D$23,3,3)*INDEX(Datos!$B$3:$K$12,($A78+1)+1,(K$71+1)+1),"")</f>
        <v/>
      </c>
    </row>
    <row r="79" spans="1:11" ht="24" customHeight="1" x14ac:dyDescent="0.2">
      <c r="A79" s="10">
        <v>7</v>
      </c>
      <c r="B79" s="9" t="str">
        <f>IF(AND($A79&gt;=1,$A79&lt;=8,B$71&gt;=1,B$71&lt;=8),INDEX(Kernels!$B$21:$D$23,1,1)*INDEX(Datos!$B$3:$K$12,($A79+1)+-1,(B$71+1)+-1)+INDEX(Kernels!$B$21:$D$23,1,2)*INDEX(Datos!$B$3:$K$12,($A79+1)+-1,(B$71+1)+0)+INDEX(Kernels!$B$21:$D$23,1,3)*INDEX(Datos!$B$3:$K$12,($A79+1)+-1,(B$71+1)+1)+INDEX(Kernels!$B$21:$D$23,2,1)*INDEX(Datos!$B$3:$K$12,($A79+1)+0,(B$71+1)+-1)+INDEX(Kernels!$B$21:$D$23,2,2)*INDEX(Datos!$B$3:$K$12,($A79+1)+0,(B$71+1)+0)+INDEX(Kernels!$B$21:$D$23,2,3)*INDEX(Datos!$B$3:$K$12,($A79+1)+0,(B$71+1)+1)+INDEX(Kernels!$B$21:$D$23,3,1)*INDEX(Datos!$B$3:$K$12,($A79+1)+1,(B$71+1)+-1)+INDEX(Kernels!$B$21:$D$23,3,2)*INDEX(Datos!$B$3:$K$12,($A79+1)+1,(B$71+1)+0)+INDEX(Kernels!$B$21:$D$23,3,3)*INDEX(Datos!$B$3:$K$12,($A79+1)+1,(B$71+1)+1),"")</f>
        <v/>
      </c>
      <c r="C79" s="9">
        <f>IF(AND($A79&gt;=1,$A79&lt;=8,C$71&gt;=1,C$71&lt;=8),INDEX(Kernels!$B$21:$D$23,1,1)*INDEX(Datos!$B$3:$K$12,($A79+1)+-1,(C$71+1)+-1)+INDEX(Kernels!$B$21:$D$23,1,2)*INDEX(Datos!$B$3:$K$12,($A79+1)+-1,(C$71+1)+0)+INDEX(Kernels!$B$21:$D$23,1,3)*INDEX(Datos!$B$3:$K$12,($A79+1)+-1,(C$71+1)+1)+INDEX(Kernels!$B$21:$D$23,2,1)*INDEX(Datos!$B$3:$K$12,($A79+1)+0,(C$71+1)+-1)+INDEX(Kernels!$B$21:$D$23,2,2)*INDEX(Datos!$B$3:$K$12,($A79+1)+0,(C$71+1)+0)+INDEX(Kernels!$B$21:$D$23,2,3)*INDEX(Datos!$B$3:$K$12,($A79+1)+0,(C$71+1)+1)+INDEX(Kernels!$B$21:$D$23,3,1)*INDEX(Datos!$B$3:$K$12,($A79+1)+1,(C$71+1)+-1)+INDEX(Kernels!$B$21:$D$23,3,2)*INDEX(Datos!$B$3:$K$12,($A79+1)+1,(C$71+1)+0)+INDEX(Kernels!$B$21:$D$23,3,3)*INDEX(Datos!$B$3:$K$12,($A79+1)+1,(C$71+1)+1),"")</f>
        <v>81</v>
      </c>
      <c r="D79" s="9">
        <f>IF(AND($A79&gt;=1,$A79&lt;=8,D$71&gt;=1,D$71&lt;=8),INDEX(Kernels!$B$21:$D$23,1,1)*INDEX(Datos!$B$3:$K$12,($A79+1)+-1,(D$71+1)+-1)+INDEX(Kernels!$B$21:$D$23,1,2)*INDEX(Datos!$B$3:$K$12,($A79+1)+-1,(D$71+1)+0)+INDEX(Kernels!$B$21:$D$23,1,3)*INDEX(Datos!$B$3:$K$12,($A79+1)+-1,(D$71+1)+1)+INDEX(Kernels!$B$21:$D$23,2,1)*INDEX(Datos!$B$3:$K$12,($A79+1)+0,(D$71+1)+-1)+INDEX(Kernels!$B$21:$D$23,2,2)*INDEX(Datos!$B$3:$K$12,($A79+1)+0,(D$71+1)+0)+INDEX(Kernels!$B$21:$D$23,2,3)*INDEX(Datos!$B$3:$K$12,($A79+1)+0,(D$71+1)+1)+INDEX(Kernels!$B$21:$D$23,3,1)*INDEX(Datos!$B$3:$K$12,($A79+1)+1,(D$71+1)+-1)+INDEX(Kernels!$B$21:$D$23,3,2)*INDEX(Datos!$B$3:$K$12,($A79+1)+1,(D$71+1)+0)+INDEX(Kernels!$B$21:$D$23,3,3)*INDEX(Datos!$B$3:$K$12,($A79+1)+1,(D$71+1)+1),"")</f>
        <v>-49</v>
      </c>
      <c r="E79" s="9">
        <f>IF(AND($A79&gt;=1,$A79&lt;=8,E$71&gt;=1,E$71&lt;=8),INDEX(Kernels!$B$21:$D$23,1,1)*INDEX(Datos!$B$3:$K$12,($A79+1)+-1,(E$71+1)+-1)+INDEX(Kernels!$B$21:$D$23,1,2)*INDEX(Datos!$B$3:$K$12,($A79+1)+-1,(E$71+1)+0)+INDEX(Kernels!$B$21:$D$23,1,3)*INDEX(Datos!$B$3:$K$12,($A79+1)+-1,(E$71+1)+1)+INDEX(Kernels!$B$21:$D$23,2,1)*INDEX(Datos!$B$3:$K$12,($A79+1)+0,(E$71+1)+-1)+INDEX(Kernels!$B$21:$D$23,2,2)*INDEX(Datos!$B$3:$K$12,($A79+1)+0,(E$71+1)+0)+INDEX(Kernels!$B$21:$D$23,2,3)*INDEX(Datos!$B$3:$K$12,($A79+1)+0,(E$71+1)+1)+INDEX(Kernels!$B$21:$D$23,3,1)*INDEX(Datos!$B$3:$K$12,($A79+1)+1,(E$71+1)+-1)+INDEX(Kernels!$B$21:$D$23,3,2)*INDEX(Datos!$B$3:$K$12,($A79+1)+1,(E$71+1)+0)+INDEX(Kernels!$B$21:$D$23,3,3)*INDEX(Datos!$B$3:$K$12,($A79+1)+1,(E$71+1)+1),"")</f>
        <v>-36</v>
      </c>
      <c r="F79" s="9">
        <f>IF(AND($A79&gt;=1,$A79&lt;=8,F$71&gt;=1,F$71&lt;=8),INDEX(Kernels!$B$21:$D$23,1,1)*INDEX(Datos!$B$3:$K$12,($A79+1)+-1,(F$71+1)+-1)+INDEX(Kernels!$B$21:$D$23,1,2)*INDEX(Datos!$B$3:$K$12,($A79+1)+-1,(F$71+1)+0)+INDEX(Kernels!$B$21:$D$23,1,3)*INDEX(Datos!$B$3:$K$12,($A79+1)+-1,(F$71+1)+1)+INDEX(Kernels!$B$21:$D$23,2,1)*INDEX(Datos!$B$3:$K$12,($A79+1)+0,(F$71+1)+-1)+INDEX(Kernels!$B$21:$D$23,2,2)*INDEX(Datos!$B$3:$K$12,($A79+1)+0,(F$71+1)+0)+INDEX(Kernels!$B$21:$D$23,2,3)*INDEX(Datos!$B$3:$K$12,($A79+1)+0,(F$71+1)+1)+INDEX(Kernels!$B$21:$D$23,3,1)*INDEX(Datos!$B$3:$K$12,($A79+1)+1,(F$71+1)+-1)+INDEX(Kernels!$B$21:$D$23,3,2)*INDEX(Datos!$B$3:$K$12,($A79+1)+1,(F$71+1)+0)+INDEX(Kernels!$B$21:$D$23,3,3)*INDEX(Datos!$B$3:$K$12,($A79+1)+1,(F$71+1)+1),"")</f>
        <v>2</v>
      </c>
      <c r="G79" s="9">
        <f>IF(AND($A79&gt;=1,$A79&lt;=8,G$71&gt;=1,G$71&lt;=8),INDEX(Kernels!$B$21:$D$23,1,1)*INDEX(Datos!$B$3:$K$12,($A79+1)+-1,(G$71+1)+-1)+INDEX(Kernels!$B$21:$D$23,1,2)*INDEX(Datos!$B$3:$K$12,($A79+1)+-1,(G$71+1)+0)+INDEX(Kernels!$B$21:$D$23,1,3)*INDEX(Datos!$B$3:$K$12,($A79+1)+-1,(G$71+1)+1)+INDEX(Kernels!$B$21:$D$23,2,1)*INDEX(Datos!$B$3:$K$12,($A79+1)+0,(G$71+1)+-1)+INDEX(Kernels!$B$21:$D$23,2,2)*INDEX(Datos!$B$3:$K$12,($A79+1)+0,(G$71+1)+0)+INDEX(Kernels!$B$21:$D$23,2,3)*INDEX(Datos!$B$3:$K$12,($A79+1)+0,(G$71+1)+1)+INDEX(Kernels!$B$21:$D$23,3,1)*INDEX(Datos!$B$3:$K$12,($A79+1)+1,(G$71+1)+-1)+INDEX(Kernels!$B$21:$D$23,3,2)*INDEX(Datos!$B$3:$K$12,($A79+1)+1,(G$71+1)+0)+INDEX(Kernels!$B$21:$D$23,3,3)*INDEX(Datos!$B$3:$K$12,($A79+1)+1,(G$71+1)+1),"")</f>
        <v>-22</v>
      </c>
      <c r="H79" s="9">
        <f>IF(AND($A79&gt;=1,$A79&lt;=8,H$71&gt;=1,H$71&lt;=8),INDEX(Kernels!$B$21:$D$23,1,1)*INDEX(Datos!$B$3:$K$12,($A79+1)+-1,(H$71+1)+-1)+INDEX(Kernels!$B$21:$D$23,1,2)*INDEX(Datos!$B$3:$K$12,($A79+1)+-1,(H$71+1)+0)+INDEX(Kernels!$B$21:$D$23,1,3)*INDEX(Datos!$B$3:$K$12,($A79+1)+-1,(H$71+1)+1)+INDEX(Kernels!$B$21:$D$23,2,1)*INDEX(Datos!$B$3:$K$12,($A79+1)+0,(H$71+1)+-1)+INDEX(Kernels!$B$21:$D$23,2,2)*INDEX(Datos!$B$3:$K$12,($A79+1)+0,(H$71+1)+0)+INDEX(Kernels!$B$21:$D$23,2,3)*INDEX(Datos!$B$3:$K$12,($A79+1)+0,(H$71+1)+1)+INDEX(Kernels!$B$21:$D$23,3,1)*INDEX(Datos!$B$3:$K$12,($A79+1)+1,(H$71+1)+-1)+INDEX(Kernels!$B$21:$D$23,3,2)*INDEX(Datos!$B$3:$K$12,($A79+1)+1,(H$71+1)+0)+INDEX(Kernels!$B$21:$D$23,3,3)*INDEX(Datos!$B$3:$K$12,($A79+1)+1,(H$71+1)+1),"")</f>
        <v>69</v>
      </c>
      <c r="I79" s="9">
        <f>IF(AND($A79&gt;=1,$A79&lt;=8,I$71&gt;=1,I$71&lt;=8),INDEX(Kernels!$B$21:$D$23,1,1)*INDEX(Datos!$B$3:$K$12,($A79+1)+-1,(I$71+1)+-1)+INDEX(Kernels!$B$21:$D$23,1,2)*INDEX(Datos!$B$3:$K$12,($A79+1)+-1,(I$71+1)+0)+INDEX(Kernels!$B$21:$D$23,1,3)*INDEX(Datos!$B$3:$K$12,($A79+1)+-1,(I$71+1)+1)+INDEX(Kernels!$B$21:$D$23,2,1)*INDEX(Datos!$B$3:$K$12,($A79+1)+0,(I$71+1)+-1)+INDEX(Kernels!$B$21:$D$23,2,2)*INDEX(Datos!$B$3:$K$12,($A79+1)+0,(I$71+1)+0)+INDEX(Kernels!$B$21:$D$23,2,3)*INDEX(Datos!$B$3:$K$12,($A79+1)+0,(I$71+1)+1)+INDEX(Kernels!$B$21:$D$23,3,1)*INDEX(Datos!$B$3:$K$12,($A79+1)+1,(I$71+1)+-1)+INDEX(Kernels!$B$21:$D$23,3,2)*INDEX(Datos!$B$3:$K$12,($A79+1)+1,(I$71+1)+0)+INDEX(Kernels!$B$21:$D$23,3,3)*INDEX(Datos!$B$3:$K$12,($A79+1)+1,(I$71+1)+1),"")</f>
        <v>17</v>
      </c>
      <c r="J79" s="9">
        <f>IF(AND($A79&gt;=1,$A79&lt;=8,J$71&gt;=1,J$71&lt;=8),INDEX(Kernels!$B$21:$D$23,1,1)*INDEX(Datos!$B$3:$K$12,($A79+1)+-1,(J$71+1)+-1)+INDEX(Kernels!$B$21:$D$23,1,2)*INDEX(Datos!$B$3:$K$12,($A79+1)+-1,(J$71+1)+0)+INDEX(Kernels!$B$21:$D$23,1,3)*INDEX(Datos!$B$3:$K$12,($A79+1)+-1,(J$71+1)+1)+INDEX(Kernels!$B$21:$D$23,2,1)*INDEX(Datos!$B$3:$K$12,($A79+1)+0,(J$71+1)+-1)+INDEX(Kernels!$B$21:$D$23,2,2)*INDEX(Datos!$B$3:$K$12,($A79+1)+0,(J$71+1)+0)+INDEX(Kernels!$B$21:$D$23,2,3)*INDEX(Datos!$B$3:$K$12,($A79+1)+0,(J$71+1)+1)+INDEX(Kernels!$B$21:$D$23,3,1)*INDEX(Datos!$B$3:$K$12,($A79+1)+1,(J$71+1)+-1)+INDEX(Kernels!$B$21:$D$23,3,2)*INDEX(Datos!$B$3:$K$12,($A79+1)+1,(J$71+1)+0)+INDEX(Kernels!$B$21:$D$23,3,3)*INDEX(Datos!$B$3:$K$12,($A79+1)+1,(J$71+1)+1),"")</f>
        <v>-21</v>
      </c>
      <c r="K79" s="9" t="str">
        <f>IF(AND($A79&gt;=1,$A79&lt;=8,K$71&gt;=1,K$71&lt;=8),INDEX(Kernels!$B$21:$D$23,1,1)*INDEX(Datos!$B$3:$K$12,($A79+1)+-1,(K$71+1)+-1)+INDEX(Kernels!$B$21:$D$23,1,2)*INDEX(Datos!$B$3:$K$12,($A79+1)+-1,(K$71+1)+0)+INDEX(Kernels!$B$21:$D$23,1,3)*INDEX(Datos!$B$3:$K$12,($A79+1)+-1,(K$71+1)+1)+INDEX(Kernels!$B$21:$D$23,2,1)*INDEX(Datos!$B$3:$K$12,($A79+1)+0,(K$71+1)+-1)+INDEX(Kernels!$B$21:$D$23,2,2)*INDEX(Datos!$B$3:$K$12,($A79+1)+0,(K$71+1)+0)+INDEX(Kernels!$B$21:$D$23,2,3)*INDEX(Datos!$B$3:$K$12,($A79+1)+0,(K$71+1)+1)+INDEX(Kernels!$B$21:$D$23,3,1)*INDEX(Datos!$B$3:$K$12,($A79+1)+1,(K$71+1)+-1)+INDEX(Kernels!$B$21:$D$23,3,2)*INDEX(Datos!$B$3:$K$12,($A79+1)+1,(K$71+1)+0)+INDEX(Kernels!$B$21:$D$23,3,3)*INDEX(Datos!$B$3:$K$12,($A79+1)+1,(K$71+1)+1),"")</f>
        <v/>
      </c>
    </row>
    <row r="80" spans="1:11" ht="24" customHeight="1" x14ac:dyDescent="0.2">
      <c r="A80" s="10">
        <v>8</v>
      </c>
      <c r="B80" s="9" t="str">
        <f>IF(AND($A80&gt;=1,$A80&lt;=8,B$71&gt;=1,B$71&lt;=8),INDEX(Kernels!$B$21:$D$23,1,1)*INDEX(Datos!$B$3:$K$12,($A80+1)+-1,(B$71+1)+-1)+INDEX(Kernels!$B$21:$D$23,1,2)*INDEX(Datos!$B$3:$K$12,($A80+1)+-1,(B$71+1)+0)+INDEX(Kernels!$B$21:$D$23,1,3)*INDEX(Datos!$B$3:$K$12,($A80+1)+-1,(B$71+1)+1)+INDEX(Kernels!$B$21:$D$23,2,1)*INDEX(Datos!$B$3:$K$12,($A80+1)+0,(B$71+1)+-1)+INDEX(Kernels!$B$21:$D$23,2,2)*INDEX(Datos!$B$3:$K$12,($A80+1)+0,(B$71+1)+0)+INDEX(Kernels!$B$21:$D$23,2,3)*INDEX(Datos!$B$3:$K$12,($A80+1)+0,(B$71+1)+1)+INDEX(Kernels!$B$21:$D$23,3,1)*INDEX(Datos!$B$3:$K$12,($A80+1)+1,(B$71+1)+-1)+INDEX(Kernels!$B$21:$D$23,3,2)*INDEX(Datos!$B$3:$K$12,($A80+1)+1,(B$71+1)+0)+INDEX(Kernels!$B$21:$D$23,3,3)*INDEX(Datos!$B$3:$K$12,($A80+1)+1,(B$71+1)+1),"")</f>
        <v/>
      </c>
      <c r="C80" s="9">
        <f>IF(AND($A80&gt;=1,$A80&lt;=8,C$71&gt;=1,C$71&lt;=8),INDEX(Kernels!$B$21:$D$23,1,1)*INDEX(Datos!$B$3:$K$12,($A80+1)+-1,(C$71+1)+-1)+INDEX(Kernels!$B$21:$D$23,1,2)*INDEX(Datos!$B$3:$K$12,($A80+1)+-1,(C$71+1)+0)+INDEX(Kernels!$B$21:$D$23,1,3)*INDEX(Datos!$B$3:$K$12,($A80+1)+-1,(C$71+1)+1)+INDEX(Kernels!$B$21:$D$23,2,1)*INDEX(Datos!$B$3:$K$12,($A80+1)+0,(C$71+1)+-1)+INDEX(Kernels!$B$21:$D$23,2,2)*INDEX(Datos!$B$3:$K$12,($A80+1)+0,(C$71+1)+0)+INDEX(Kernels!$B$21:$D$23,2,3)*INDEX(Datos!$B$3:$K$12,($A80+1)+0,(C$71+1)+1)+INDEX(Kernels!$B$21:$D$23,3,1)*INDEX(Datos!$B$3:$K$12,($A80+1)+1,(C$71+1)+-1)+INDEX(Kernels!$B$21:$D$23,3,2)*INDEX(Datos!$B$3:$K$12,($A80+1)+1,(C$71+1)+0)+INDEX(Kernels!$B$21:$D$23,3,3)*INDEX(Datos!$B$3:$K$12,($A80+1)+1,(C$71+1)+1),"")</f>
        <v>-14</v>
      </c>
      <c r="D80" s="9">
        <f>IF(AND($A80&gt;=1,$A80&lt;=8,D$71&gt;=1,D$71&lt;=8),INDEX(Kernels!$B$21:$D$23,1,1)*INDEX(Datos!$B$3:$K$12,($A80+1)+-1,(D$71+1)+-1)+INDEX(Kernels!$B$21:$D$23,1,2)*INDEX(Datos!$B$3:$K$12,($A80+1)+-1,(D$71+1)+0)+INDEX(Kernels!$B$21:$D$23,1,3)*INDEX(Datos!$B$3:$K$12,($A80+1)+-1,(D$71+1)+1)+INDEX(Kernels!$B$21:$D$23,2,1)*INDEX(Datos!$B$3:$K$12,($A80+1)+0,(D$71+1)+-1)+INDEX(Kernels!$B$21:$D$23,2,2)*INDEX(Datos!$B$3:$K$12,($A80+1)+0,(D$71+1)+0)+INDEX(Kernels!$B$21:$D$23,2,3)*INDEX(Datos!$B$3:$K$12,($A80+1)+0,(D$71+1)+1)+INDEX(Kernels!$B$21:$D$23,3,1)*INDEX(Datos!$B$3:$K$12,($A80+1)+1,(D$71+1)+-1)+INDEX(Kernels!$B$21:$D$23,3,2)*INDEX(Datos!$B$3:$K$12,($A80+1)+1,(D$71+1)+0)+INDEX(Kernels!$B$21:$D$23,3,3)*INDEX(Datos!$B$3:$K$12,($A80+1)+1,(D$71+1)+1),"")</f>
        <v>47</v>
      </c>
      <c r="E80" s="9">
        <f>IF(AND($A80&gt;=1,$A80&lt;=8,E$71&gt;=1,E$71&lt;=8),INDEX(Kernels!$B$21:$D$23,1,1)*INDEX(Datos!$B$3:$K$12,($A80+1)+-1,(E$71+1)+-1)+INDEX(Kernels!$B$21:$D$23,1,2)*INDEX(Datos!$B$3:$K$12,($A80+1)+-1,(E$71+1)+0)+INDEX(Kernels!$B$21:$D$23,1,3)*INDEX(Datos!$B$3:$K$12,($A80+1)+-1,(E$71+1)+1)+INDEX(Kernels!$B$21:$D$23,2,1)*INDEX(Datos!$B$3:$K$12,($A80+1)+0,(E$71+1)+-1)+INDEX(Kernels!$B$21:$D$23,2,2)*INDEX(Datos!$B$3:$K$12,($A80+1)+0,(E$71+1)+0)+INDEX(Kernels!$B$21:$D$23,2,3)*INDEX(Datos!$B$3:$K$12,($A80+1)+0,(E$71+1)+1)+INDEX(Kernels!$B$21:$D$23,3,1)*INDEX(Datos!$B$3:$K$12,($A80+1)+1,(E$71+1)+-1)+INDEX(Kernels!$B$21:$D$23,3,2)*INDEX(Datos!$B$3:$K$12,($A80+1)+1,(E$71+1)+0)+INDEX(Kernels!$B$21:$D$23,3,3)*INDEX(Datos!$B$3:$K$12,($A80+1)+1,(E$71+1)+1),"")</f>
        <v>37</v>
      </c>
      <c r="F80" s="9">
        <f>IF(AND($A80&gt;=1,$A80&lt;=8,F$71&gt;=1,F$71&lt;=8),INDEX(Kernels!$B$21:$D$23,1,1)*INDEX(Datos!$B$3:$K$12,($A80+1)+-1,(F$71+1)+-1)+INDEX(Kernels!$B$21:$D$23,1,2)*INDEX(Datos!$B$3:$K$12,($A80+1)+-1,(F$71+1)+0)+INDEX(Kernels!$B$21:$D$23,1,3)*INDEX(Datos!$B$3:$K$12,($A80+1)+-1,(F$71+1)+1)+INDEX(Kernels!$B$21:$D$23,2,1)*INDEX(Datos!$B$3:$K$12,($A80+1)+0,(F$71+1)+-1)+INDEX(Kernels!$B$21:$D$23,2,2)*INDEX(Datos!$B$3:$K$12,($A80+1)+0,(F$71+1)+0)+INDEX(Kernels!$B$21:$D$23,2,3)*INDEX(Datos!$B$3:$K$12,($A80+1)+0,(F$71+1)+1)+INDEX(Kernels!$B$21:$D$23,3,1)*INDEX(Datos!$B$3:$K$12,($A80+1)+1,(F$71+1)+-1)+INDEX(Kernels!$B$21:$D$23,3,2)*INDEX(Datos!$B$3:$K$12,($A80+1)+1,(F$71+1)+0)+INDEX(Kernels!$B$21:$D$23,3,3)*INDEX(Datos!$B$3:$K$12,($A80+1)+1,(F$71+1)+1),"")</f>
        <v>-45</v>
      </c>
      <c r="G80" s="9">
        <f>IF(AND($A80&gt;=1,$A80&lt;=8,G$71&gt;=1,G$71&lt;=8),INDEX(Kernels!$B$21:$D$23,1,1)*INDEX(Datos!$B$3:$K$12,($A80+1)+-1,(G$71+1)+-1)+INDEX(Kernels!$B$21:$D$23,1,2)*INDEX(Datos!$B$3:$K$12,($A80+1)+-1,(G$71+1)+0)+INDEX(Kernels!$B$21:$D$23,1,3)*INDEX(Datos!$B$3:$K$12,($A80+1)+-1,(G$71+1)+1)+INDEX(Kernels!$B$21:$D$23,2,1)*INDEX(Datos!$B$3:$K$12,($A80+1)+0,(G$71+1)+-1)+INDEX(Kernels!$B$21:$D$23,2,2)*INDEX(Datos!$B$3:$K$12,($A80+1)+0,(G$71+1)+0)+INDEX(Kernels!$B$21:$D$23,2,3)*INDEX(Datos!$B$3:$K$12,($A80+1)+0,(G$71+1)+1)+INDEX(Kernels!$B$21:$D$23,3,1)*INDEX(Datos!$B$3:$K$12,($A80+1)+1,(G$71+1)+-1)+INDEX(Kernels!$B$21:$D$23,3,2)*INDEX(Datos!$B$3:$K$12,($A80+1)+1,(G$71+1)+0)+INDEX(Kernels!$B$21:$D$23,3,3)*INDEX(Datos!$B$3:$K$12,($A80+1)+1,(G$71+1)+1),"")</f>
        <v>21</v>
      </c>
      <c r="H80" s="9">
        <f>IF(AND($A80&gt;=1,$A80&lt;=8,H$71&gt;=1,H$71&lt;=8),INDEX(Kernels!$B$21:$D$23,1,1)*INDEX(Datos!$B$3:$K$12,($A80+1)+-1,(H$71+1)+-1)+INDEX(Kernels!$B$21:$D$23,1,2)*INDEX(Datos!$B$3:$K$12,($A80+1)+-1,(H$71+1)+0)+INDEX(Kernels!$B$21:$D$23,1,3)*INDEX(Datos!$B$3:$K$12,($A80+1)+-1,(H$71+1)+1)+INDEX(Kernels!$B$21:$D$23,2,1)*INDEX(Datos!$B$3:$K$12,($A80+1)+0,(H$71+1)+-1)+INDEX(Kernels!$B$21:$D$23,2,2)*INDEX(Datos!$B$3:$K$12,($A80+1)+0,(H$71+1)+0)+INDEX(Kernels!$B$21:$D$23,2,3)*INDEX(Datos!$B$3:$K$12,($A80+1)+0,(H$71+1)+1)+INDEX(Kernels!$B$21:$D$23,3,1)*INDEX(Datos!$B$3:$K$12,($A80+1)+1,(H$71+1)+-1)+INDEX(Kernels!$B$21:$D$23,3,2)*INDEX(Datos!$B$3:$K$12,($A80+1)+1,(H$71+1)+0)+INDEX(Kernels!$B$21:$D$23,3,3)*INDEX(Datos!$B$3:$K$12,($A80+1)+1,(H$71+1)+1),"")</f>
        <v>36</v>
      </c>
      <c r="I80" s="9">
        <f>IF(AND($A80&gt;=1,$A80&lt;=8,I$71&gt;=1,I$71&lt;=8),INDEX(Kernels!$B$21:$D$23,1,1)*INDEX(Datos!$B$3:$K$12,($A80+1)+-1,(I$71+1)+-1)+INDEX(Kernels!$B$21:$D$23,1,2)*INDEX(Datos!$B$3:$K$12,($A80+1)+-1,(I$71+1)+0)+INDEX(Kernels!$B$21:$D$23,1,3)*INDEX(Datos!$B$3:$K$12,($A80+1)+-1,(I$71+1)+1)+INDEX(Kernels!$B$21:$D$23,2,1)*INDEX(Datos!$B$3:$K$12,($A80+1)+0,(I$71+1)+-1)+INDEX(Kernels!$B$21:$D$23,2,2)*INDEX(Datos!$B$3:$K$12,($A80+1)+0,(I$71+1)+0)+INDEX(Kernels!$B$21:$D$23,2,3)*INDEX(Datos!$B$3:$K$12,($A80+1)+0,(I$71+1)+1)+INDEX(Kernels!$B$21:$D$23,3,1)*INDEX(Datos!$B$3:$K$12,($A80+1)+1,(I$71+1)+-1)+INDEX(Kernels!$B$21:$D$23,3,2)*INDEX(Datos!$B$3:$K$12,($A80+1)+1,(I$71+1)+0)+INDEX(Kernels!$B$21:$D$23,3,3)*INDEX(Datos!$B$3:$K$12,($A80+1)+1,(I$71+1)+1),"")</f>
        <v>-102</v>
      </c>
      <c r="J80" s="9">
        <f>IF(AND($A80&gt;=1,$A80&lt;=8,J$71&gt;=1,J$71&lt;=8),INDEX(Kernels!$B$21:$D$23,1,1)*INDEX(Datos!$B$3:$K$12,($A80+1)+-1,(J$71+1)+-1)+INDEX(Kernels!$B$21:$D$23,1,2)*INDEX(Datos!$B$3:$K$12,($A80+1)+-1,(J$71+1)+0)+INDEX(Kernels!$B$21:$D$23,1,3)*INDEX(Datos!$B$3:$K$12,($A80+1)+-1,(J$71+1)+1)+INDEX(Kernels!$B$21:$D$23,2,1)*INDEX(Datos!$B$3:$K$12,($A80+1)+0,(J$71+1)+-1)+INDEX(Kernels!$B$21:$D$23,2,2)*INDEX(Datos!$B$3:$K$12,($A80+1)+0,(J$71+1)+0)+INDEX(Kernels!$B$21:$D$23,2,3)*INDEX(Datos!$B$3:$K$12,($A80+1)+0,(J$71+1)+1)+INDEX(Kernels!$B$21:$D$23,3,1)*INDEX(Datos!$B$3:$K$12,($A80+1)+1,(J$71+1)+-1)+INDEX(Kernels!$B$21:$D$23,3,2)*INDEX(Datos!$B$3:$K$12,($A80+1)+1,(J$71+1)+0)+INDEX(Kernels!$B$21:$D$23,3,3)*INDEX(Datos!$B$3:$K$12,($A80+1)+1,(J$71+1)+1),"")</f>
        <v>-18</v>
      </c>
      <c r="K80" s="9" t="str">
        <f>IF(AND($A80&gt;=1,$A80&lt;=8,K$71&gt;=1,K$71&lt;=8),INDEX(Kernels!$B$21:$D$23,1,1)*INDEX(Datos!$B$3:$K$12,($A80+1)+-1,(K$71+1)+-1)+INDEX(Kernels!$B$21:$D$23,1,2)*INDEX(Datos!$B$3:$K$12,($A80+1)+-1,(K$71+1)+0)+INDEX(Kernels!$B$21:$D$23,1,3)*INDEX(Datos!$B$3:$K$12,($A80+1)+-1,(K$71+1)+1)+INDEX(Kernels!$B$21:$D$23,2,1)*INDEX(Datos!$B$3:$K$12,($A80+1)+0,(K$71+1)+-1)+INDEX(Kernels!$B$21:$D$23,2,2)*INDEX(Datos!$B$3:$K$12,($A80+1)+0,(K$71+1)+0)+INDEX(Kernels!$B$21:$D$23,2,3)*INDEX(Datos!$B$3:$K$12,($A80+1)+0,(K$71+1)+1)+INDEX(Kernels!$B$21:$D$23,3,1)*INDEX(Datos!$B$3:$K$12,($A80+1)+1,(K$71+1)+-1)+INDEX(Kernels!$B$21:$D$23,3,2)*INDEX(Datos!$B$3:$K$12,($A80+1)+1,(K$71+1)+0)+INDEX(Kernels!$B$21:$D$23,3,3)*INDEX(Datos!$B$3:$K$12,($A80+1)+1,(K$71+1)+1),"")</f>
        <v/>
      </c>
    </row>
    <row r="81" spans="1:11" ht="24" customHeight="1" x14ac:dyDescent="0.2">
      <c r="A81" s="10">
        <v>9</v>
      </c>
      <c r="B81" s="9" t="str">
        <f>IF(AND($A81&gt;=1,$A81&lt;=8,B$71&gt;=1,B$71&lt;=8),INDEX(Kernels!$B$21:$D$23,1,1)*INDEX(Datos!$B$3:$K$12,($A81+1)+-1,(B$71+1)+-1)+INDEX(Kernels!$B$21:$D$23,1,2)*INDEX(Datos!$B$3:$K$12,($A81+1)+-1,(B$71+1)+0)+INDEX(Kernels!$B$21:$D$23,1,3)*INDEX(Datos!$B$3:$K$12,($A81+1)+-1,(B$71+1)+1)+INDEX(Kernels!$B$21:$D$23,2,1)*INDEX(Datos!$B$3:$K$12,($A81+1)+0,(B$71+1)+-1)+INDEX(Kernels!$B$21:$D$23,2,2)*INDEX(Datos!$B$3:$K$12,($A81+1)+0,(B$71+1)+0)+INDEX(Kernels!$B$21:$D$23,2,3)*INDEX(Datos!$B$3:$K$12,($A81+1)+0,(B$71+1)+1)+INDEX(Kernels!$B$21:$D$23,3,1)*INDEX(Datos!$B$3:$K$12,($A81+1)+1,(B$71+1)+-1)+INDEX(Kernels!$B$21:$D$23,3,2)*INDEX(Datos!$B$3:$K$12,($A81+1)+1,(B$71+1)+0)+INDEX(Kernels!$B$21:$D$23,3,3)*INDEX(Datos!$B$3:$K$12,($A81+1)+1,(B$71+1)+1),"")</f>
        <v/>
      </c>
      <c r="C81" s="9" t="str">
        <f>IF(AND($A81&gt;=1,$A81&lt;=8,C$71&gt;=1,C$71&lt;=8),INDEX(Kernels!$B$21:$D$23,1,1)*INDEX(Datos!$B$3:$K$12,($A81+1)+-1,(C$71+1)+-1)+INDEX(Kernels!$B$21:$D$23,1,2)*INDEX(Datos!$B$3:$K$12,($A81+1)+-1,(C$71+1)+0)+INDEX(Kernels!$B$21:$D$23,1,3)*INDEX(Datos!$B$3:$K$12,($A81+1)+-1,(C$71+1)+1)+INDEX(Kernels!$B$21:$D$23,2,1)*INDEX(Datos!$B$3:$K$12,($A81+1)+0,(C$71+1)+-1)+INDEX(Kernels!$B$21:$D$23,2,2)*INDEX(Datos!$B$3:$K$12,($A81+1)+0,(C$71+1)+0)+INDEX(Kernels!$B$21:$D$23,2,3)*INDEX(Datos!$B$3:$K$12,($A81+1)+0,(C$71+1)+1)+INDEX(Kernels!$B$21:$D$23,3,1)*INDEX(Datos!$B$3:$K$12,($A81+1)+1,(C$71+1)+-1)+INDEX(Kernels!$B$21:$D$23,3,2)*INDEX(Datos!$B$3:$K$12,($A81+1)+1,(C$71+1)+0)+INDEX(Kernels!$B$21:$D$23,3,3)*INDEX(Datos!$B$3:$K$12,($A81+1)+1,(C$71+1)+1),"")</f>
        <v/>
      </c>
      <c r="D81" s="9" t="str">
        <f>IF(AND($A81&gt;=1,$A81&lt;=8,D$71&gt;=1,D$71&lt;=8),INDEX(Kernels!$B$21:$D$23,1,1)*INDEX(Datos!$B$3:$K$12,($A81+1)+-1,(D$71+1)+-1)+INDEX(Kernels!$B$21:$D$23,1,2)*INDEX(Datos!$B$3:$K$12,($A81+1)+-1,(D$71+1)+0)+INDEX(Kernels!$B$21:$D$23,1,3)*INDEX(Datos!$B$3:$K$12,($A81+1)+-1,(D$71+1)+1)+INDEX(Kernels!$B$21:$D$23,2,1)*INDEX(Datos!$B$3:$K$12,($A81+1)+0,(D$71+1)+-1)+INDEX(Kernels!$B$21:$D$23,2,2)*INDEX(Datos!$B$3:$K$12,($A81+1)+0,(D$71+1)+0)+INDEX(Kernels!$B$21:$D$23,2,3)*INDEX(Datos!$B$3:$K$12,($A81+1)+0,(D$71+1)+1)+INDEX(Kernels!$B$21:$D$23,3,1)*INDEX(Datos!$B$3:$K$12,($A81+1)+1,(D$71+1)+-1)+INDEX(Kernels!$B$21:$D$23,3,2)*INDEX(Datos!$B$3:$K$12,($A81+1)+1,(D$71+1)+0)+INDEX(Kernels!$B$21:$D$23,3,3)*INDEX(Datos!$B$3:$K$12,($A81+1)+1,(D$71+1)+1),"")</f>
        <v/>
      </c>
      <c r="E81" s="9" t="str">
        <f>IF(AND($A81&gt;=1,$A81&lt;=8,E$71&gt;=1,E$71&lt;=8),INDEX(Kernels!$B$21:$D$23,1,1)*INDEX(Datos!$B$3:$K$12,($A81+1)+-1,(E$71+1)+-1)+INDEX(Kernels!$B$21:$D$23,1,2)*INDEX(Datos!$B$3:$K$12,($A81+1)+-1,(E$71+1)+0)+INDEX(Kernels!$B$21:$D$23,1,3)*INDEX(Datos!$B$3:$K$12,($A81+1)+-1,(E$71+1)+1)+INDEX(Kernels!$B$21:$D$23,2,1)*INDEX(Datos!$B$3:$K$12,($A81+1)+0,(E$71+1)+-1)+INDEX(Kernels!$B$21:$D$23,2,2)*INDEX(Datos!$B$3:$K$12,($A81+1)+0,(E$71+1)+0)+INDEX(Kernels!$B$21:$D$23,2,3)*INDEX(Datos!$B$3:$K$12,($A81+1)+0,(E$71+1)+1)+INDEX(Kernels!$B$21:$D$23,3,1)*INDEX(Datos!$B$3:$K$12,($A81+1)+1,(E$71+1)+-1)+INDEX(Kernels!$B$21:$D$23,3,2)*INDEX(Datos!$B$3:$K$12,($A81+1)+1,(E$71+1)+0)+INDEX(Kernels!$B$21:$D$23,3,3)*INDEX(Datos!$B$3:$K$12,($A81+1)+1,(E$71+1)+1),"")</f>
        <v/>
      </c>
      <c r="F81" s="9" t="str">
        <f>IF(AND($A81&gt;=1,$A81&lt;=8,F$71&gt;=1,F$71&lt;=8),INDEX(Kernels!$B$21:$D$23,1,1)*INDEX(Datos!$B$3:$K$12,($A81+1)+-1,(F$71+1)+-1)+INDEX(Kernels!$B$21:$D$23,1,2)*INDEX(Datos!$B$3:$K$12,($A81+1)+-1,(F$71+1)+0)+INDEX(Kernels!$B$21:$D$23,1,3)*INDEX(Datos!$B$3:$K$12,($A81+1)+-1,(F$71+1)+1)+INDEX(Kernels!$B$21:$D$23,2,1)*INDEX(Datos!$B$3:$K$12,($A81+1)+0,(F$71+1)+-1)+INDEX(Kernels!$B$21:$D$23,2,2)*INDEX(Datos!$B$3:$K$12,($A81+1)+0,(F$71+1)+0)+INDEX(Kernels!$B$21:$D$23,2,3)*INDEX(Datos!$B$3:$K$12,($A81+1)+0,(F$71+1)+1)+INDEX(Kernels!$B$21:$D$23,3,1)*INDEX(Datos!$B$3:$K$12,($A81+1)+1,(F$71+1)+-1)+INDEX(Kernels!$B$21:$D$23,3,2)*INDEX(Datos!$B$3:$K$12,($A81+1)+1,(F$71+1)+0)+INDEX(Kernels!$B$21:$D$23,3,3)*INDEX(Datos!$B$3:$K$12,($A81+1)+1,(F$71+1)+1),"")</f>
        <v/>
      </c>
      <c r="G81" s="9" t="str">
        <f>IF(AND($A81&gt;=1,$A81&lt;=8,G$71&gt;=1,G$71&lt;=8),INDEX(Kernels!$B$21:$D$23,1,1)*INDEX(Datos!$B$3:$K$12,($A81+1)+-1,(G$71+1)+-1)+INDEX(Kernels!$B$21:$D$23,1,2)*INDEX(Datos!$B$3:$K$12,($A81+1)+-1,(G$71+1)+0)+INDEX(Kernels!$B$21:$D$23,1,3)*INDEX(Datos!$B$3:$K$12,($A81+1)+-1,(G$71+1)+1)+INDEX(Kernels!$B$21:$D$23,2,1)*INDEX(Datos!$B$3:$K$12,($A81+1)+0,(G$71+1)+-1)+INDEX(Kernels!$B$21:$D$23,2,2)*INDEX(Datos!$B$3:$K$12,($A81+1)+0,(G$71+1)+0)+INDEX(Kernels!$B$21:$D$23,2,3)*INDEX(Datos!$B$3:$K$12,($A81+1)+0,(G$71+1)+1)+INDEX(Kernels!$B$21:$D$23,3,1)*INDEX(Datos!$B$3:$K$12,($A81+1)+1,(G$71+1)+-1)+INDEX(Kernels!$B$21:$D$23,3,2)*INDEX(Datos!$B$3:$K$12,($A81+1)+1,(G$71+1)+0)+INDEX(Kernels!$B$21:$D$23,3,3)*INDEX(Datos!$B$3:$K$12,($A81+1)+1,(G$71+1)+1),"")</f>
        <v/>
      </c>
      <c r="H81" s="9" t="str">
        <f>IF(AND($A81&gt;=1,$A81&lt;=8,H$71&gt;=1,H$71&lt;=8),INDEX(Kernels!$B$21:$D$23,1,1)*INDEX(Datos!$B$3:$K$12,($A81+1)+-1,(H$71+1)+-1)+INDEX(Kernels!$B$21:$D$23,1,2)*INDEX(Datos!$B$3:$K$12,($A81+1)+-1,(H$71+1)+0)+INDEX(Kernels!$B$21:$D$23,1,3)*INDEX(Datos!$B$3:$K$12,($A81+1)+-1,(H$71+1)+1)+INDEX(Kernels!$B$21:$D$23,2,1)*INDEX(Datos!$B$3:$K$12,($A81+1)+0,(H$71+1)+-1)+INDEX(Kernels!$B$21:$D$23,2,2)*INDEX(Datos!$B$3:$K$12,($A81+1)+0,(H$71+1)+0)+INDEX(Kernels!$B$21:$D$23,2,3)*INDEX(Datos!$B$3:$K$12,($A81+1)+0,(H$71+1)+1)+INDEX(Kernels!$B$21:$D$23,3,1)*INDEX(Datos!$B$3:$K$12,($A81+1)+1,(H$71+1)+-1)+INDEX(Kernels!$B$21:$D$23,3,2)*INDEX(Datos!$B$3:$K$12,($A81+1)+1,(H$71+1)+0)+INDEX(Kernels!$B$21:$D$23,3,3)*INDEX(Datos!$B$3:$K$12,($A81+1)+1,(H$71+1)+1),"")</f>
        <v/>
      </c>
      <c r="I81" s="9" t="str">
        <f>IF(AND($A81&gt;=1,$A81&lt;=8,I$71&gt;=1,I$71&lt;=8),INDEX(Kernels!$B$21:$D$23,1,1)*INDEX(Datos!$B$3:$K$12,($A81+1)+-1,(I$71+1)+-1)+INDEX(Kernels!$B$21:$D$23,1,2)*INDEX(Datos!$B$3:$K$12,($A81+1)+-1,(I$71+1)+0)+INDEX(Kernels!$B$21:$D$23,1,3)*INDEX(Datos!$B$3:$K$12,($A81+1)+-1,(I$71+1)+1)+INDEX(Kernels!$B$21:$D$23,2,1)*INDEX(Datos!$B$3:$K$12,($A81+1)+0,(I$71+1)+-1)+INDEX(Kernels!$B$21:$D$23,2,2)*INDEX(Datos!$B$3:$K$12,($A81+1)+0,(I$71+1)+0)+INDEX(Kernels!$B$21:$D$23,2,3)*INDEX(Datos!$B$3:$K$12,($A81+1)+0,(I$71+1)+1)+INDEX(Kernels!$B$21:$D$23,3,1)*INDEX(Datos!$B$3:$K$12,($A81+1)+1,(I$71+1)+-1)+INDEX(Kernels!$B$21:$D$23,3,2)*INDEX(Datos!$B$3:$K$12,($A81+1)+1,(I$71+1)+0)+INDEX(Kernels!$B$21:$D$23,3,3)*INDEX(Datos!$B$3:$K$12,($A81+1)+1,(I$71+1)+1),"")</f>
        <v/>
      </c>
      <c r="J81" s="9" t="str">
        <f>IF(AND($A81&gt;=1,$A81&lt;=8,J$71&gt;=1,J$71&lt;=8),INDEX(Kernels!$B$21:$D$23,1,1)*INDEX(Datos!$B$3:$K$12,($A81+1)+-1,(J$71+1)+-1)+INDEX(Kernels!$B$21:$D$23,1,2)*INDEX(Datos!$B$3:$K$12,($A81+1)+-1,(J$71+1)+0)+INDEX(Kernels!$B$21:$D$23,1,3)*INDEX(Datos!$B$3:$K$12,($A81+1)+-1,(J$71+1)+1)+INDEX(Kernels!$B$21:$D$23,2,1)*INDEX(Datos!$B$3:$K$12,($A81+1)+0,(J$71+1)+-1)+INDEX(Kernels!$B$21:$D$23,2,2)*INDEX(Datos!$B$3:$K$12,($A81+1)+0,(J$71+1)+0)+INDEX(Kernels!$B$21:$D$23,2,3)*INDEX(Datos!$B$3:$K$12,($A81+1)+0,(J$71+1)+1)+INDEX(Kernels!$B$21:$D$23,3,1)*INDEX(Datos!$B$3:$K$12,($A81+1)+1,(J$71+1)+-1)+INDEX(Kernels!$B$21:$D$23,3,2)*INDEX(Datos!$B$3:$K$12,($A81+1)+1,(J$71+1)+0)+INDEX(Kernels!$B$21:$D$23,3,3)*INDEX(Datos!$B$3:$K$12,($A81+1)+1,(J$71+1)+1),"")</f>
        <v/>
      </c>
      <c r="K81" s="9" t="str">
        <f>IF(AND($A81&gt;=1,$A81&lt;=8,K$71&gt;=1,K$71&lt;=8),INDEX(Kernels!$B$21:$D$23,1,1)*INDEX(Datos!$B$3:$K$12,($A81+1)+-1,(K$71+1)+-1)+INDEX(Kernels!$B$21:$D$23,1,2)*INDEX(Datos!$B$3:$K$12,($A81+1)+-1,(K$71+1)+0)+INDEX(Kernels!$B$21:$D$23,1,3)*INDEX(Datos!$B$3:$K$12,($A81+1)+-1,(K$71+1)+1)+INDEX(Kernels!$B$21:$D$23,2,1)*INDEX(Datos!$B$3:$K$12,($A81+1)+0,(K$71+1)+-1)+INDEX(Kernels!$B$21:$D$23,2,2)*INDEX(Datos!$B$3:$K$12,($A81+1)+0,(K$71+1)+0)+INDEX(Kernels!$B$21:$D$23,2,3)*INDEX(Datos!$B$3:$K$12,($A81+1)+0,(K$71+1)+1)+INDEX(Kernels!$B$21:$D$23,3,1)*INDEX(Datos!$B$3:$K$12,($A81+1)+1,(K$71+1)+-1)+INDEX(Kernels!$B$21:$D$23,3,2)*INDEX(Datos!$B$3:$K$12,($A81+1)+1,(K$71+1)+0)+INDEX(Kernels!$B$21:$D$23,3,3)*INDEX(Datos!$B$3:$K$12,($A81+1)+1,(K$71+1)+1),"")</f>
        <v/>
      </c>
    </row>
    <row r="82" spans="1:11" ht="24" customHeight="1" x14ac:dyDescent="0.2"/>
    <row r="83" spans="1:11" ht="24" customHeight="1" x14ac:dyDescent="0.2"/>
    <row r="84" spans="1:11" ht="24" customHeight="1" x14ac:dyDescent="0.2"/>
    <row r="85" spans="1:11" ht="24" customHeight="1" x14ac:dyDescent="0.2"/>
    <row r="86" spans="1:11" ht="24" customHeight="1" x14ac:dyDescent="0.2"/>
    <row r="87" spans="1:11" ht="24" customHeight="1" x14ac:dyDescent="0.2"/>
    <row r="88" spans="1:11" ht="24" customHeight="1" x14ac:dyDescent="0.2"/>
    <row r="89" spans="1:11" ht="24" customHeight="1" x14ac:dyDescent="0.2"/>
  </sheetData>
  <mergeCells count="10">
    <mergeCell ref="A1:K1"/>
    <mergeCell ref="A70:K70"/>
    <mergeCell ref="A56:K56"/>
    <mergeCell ref="A6:C6"/>
    <mergeCell ref="A2:K2"/>
    <mergeCell ref="A28:K28"/>
    <mergeCell ref="A42:K42"/>
    <mergeCell ref="E6:G6"/>
    <mergeCell ref="F4:K4"/>
    <mergeCell ref="A14:K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Datos</vt:lpstr>
      <vt:lpstr>Kernels</vt:lpstr>
      <vt:lpstr>Convolucion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Nava</cp:lastModifiedBy>
  <dcterms:modified xsi:type="dcterms:W3CDTF">2026-02-11T02:04:53Z</dcterms:modified>
</cp:coreProperties>
</file>